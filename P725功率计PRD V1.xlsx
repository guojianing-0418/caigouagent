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externalLinks/externalLink1.xml" ContentType="application/vnd.openxmlformats-officedocument.spreadsheetml.externalLin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功率锁踏-" sheetId="1" r:id="rId1"/>
    <sheet name="三级价格" sheetId="2" r:id="rId2" state="hidden"/>
  </sheets>
  <externalReferences>
    <externalReference r:id="rId3"/>
  </externalReferences>
  <calcPr calcId="0"/>
</workbook>
</file>

<file path=xl/sharedStrings.xml><?xml version="1.0" encoding="utf-8"?>
<sst xmlns="http://schemas.openxmlformats.org/spreadsheetml/2006/main">
  <si>
    <r>
      <rPr>
        <b/>
        <color rgb="FF000000"/>
        <rFont val="微软雅黑"/>
        <u/>
        <sz val="12"/>
      </rPr>
      <t xml:space="preserve">      P725 </t>
    </r>
    <r>
      <rPr>
        <b/>
        <color rgb="FF000000"/>
        <rFont val="微软雅黑"/>
        <sz val="12"/>
      </rPr>
      <t xml:space="preserve">脚踏式功率计——PRD</t>
    </r>
  </si>
  <si>
    <t>基本信息</t>
  </si>
  <si>
    <t>用户场景</t>
  </si>
  <si>
    <t>运动骑行</t>
  </si>
  <si>
    <t>产品线</t>
  </si>
  <si>
    <t>功率计</t>
  </si>
  <si>
    <t>产品组名称（中文/英文）</t>
  </si>
  <si>
    <t>脚踏</t>
  </si>
  <si>
    <t>产品型号（SPU型号）</t>
  </si>
  <si>
    <t>P725</t>
  </si>
  <si>
    <t>适用车型</t>
  </si>
  <si>
    <t xml:space="preserve">■公路车  □山地车 </t>
  </si>
  <si>
    <t>目标用户</t>
  </si>
  <si>
    <t>中、高端用户</t>
  </si>
  <si>
    <t>使用环境</t>
  </si>
  <si>
    <t>温度: -20℃-60℃
湿度: 15%-80%</t>
  </si>
  <si>
    <t>存储环境</t>
  </si>
  <si>
    <t>温度: -25℃-60℃
湿度: 60±20%</t>
  </si>
  <si>
    <t>产品配置号（原硬件版本号）</t>
  </si>
  <si>
    <t>-</t>
  </si>
  <si>
    <t>是否启用序列号（SN码）管理</t>
  </si>
  <si>
    <t>■是     □否</t>
  </si>
  <si>
    <t>品牌</t>
  </si>
  <si>
    <t>Magene</t>
  </si>
  <si>
    <t>生产基地</t>
  </si>
  <si>
    <t>■城阳</t>
  </si>
  <si>
    <t xml:space="preserve"> SPU ID</t>
  </si>
  <si>
    <t>是否新增SPU ID   ■是     □否____</t>
  </si>
  <si>
    <t>产品说明</t>
  </si>
  <si>
    <t>全新一代锁踏式功率计，采用全新结构，支持山地/Look/禧玛诺三种踏板，支持PCO功能；</t>
  </si>
  <si>
    <t>输入目的</t>
  </si>
  <si>
    <t>外观要求</t>
  </si>
  <si>
    <t>内置主板、电池</t>
  </si>
  <si>
    <t>对标竞品</t>
  </si>
  <si>
    <t>Favero Assioma Pro系列，佳明210系列</t>
  </si>
  <si>
    <t>执行标准</t>
  </si>
  <si>
    <t>产品标准</t>
  </si>
  <si>
    <t>Q/MG 03007</t>
  </si>
  <si>
    <t>EMC标准</t>
  </si>
  <si>
    <t>无</t>
  </si>
  <si>
    <t>安全标准</t>
  </si>
  <si>
    <t>能效标准</t>
  </si>
  <si>
    <t>销售区域</t>
  </si>
  <si>
    <t>■国内   ■国外，详细描述区域：中国、日韩、欧美、东南亚、澳新地区</t>
  </si>
  <si>
    <t>认证要求</t>
  </si>
  <si>
    <t>Ant+、Bluetooth、CE 、FCC 、RoHs
视目标销售地区增加（包括海运空运鉴定报告）</t>
  </si>
  <si>
    <t>认证型号</t>
  </si>
  <si>
    <r>
      <rPr>
        <color rgb="FF262626"/>
        <rFont val="微软雅黑"/>
        <sz val="12"/>
      </rPr>
      <t xml:space="preserve">■市场准入认证                  
□自愿性认证
□客户要求认证型号</t>
    </r>
    <r>
      <rPr>
        <color rgb="FF262626"/>
        <rFont val="微软雅黑"/>
        <u/>
        <sz val="12"/>
      </rPr>
      <t xml:space="preserve">              
</t>
    </r>
    <r>
      <rPr>
        <color rgb="FF262626"/>
        <rFont val="微软雅黑"/>
        <sz val="12"/>
      </rPr>
      <t xml:space="preserve">注：仅填写认证类型即可，在申请SPU时由系统工程师分配</t>
    </r>
  </si>
  <si>
    <t>环保要求</t>
  </si>
  <si>
    <t>□Q/MG 04015 1级（RoHS）
■Q/MG 04026 2级（RoHS&amp;Reach)
□Q/MG 04026 3级（迪卡侬客户要求）</t>
  </si>
  <si>
    <t>防尘防水等级</t>
  </si>
  <si>
    <t>IP等级：IP67（轴心），IPX7（整机）
防水测试要求：□静态     ■动态</t>
  </si>
  <si>
    <t>耐化学品要求</t>
  </si>
  <si>
    <t>涂装满足要求</t>
  </si>
  <si>
    <t>盐雾要求</t>
  </si>
  <si>
    <t>相关螺丝及配件满足72小时盐雾试验、无断裂、生锈及变形风险；</t>
  </si>
  <si>
    <t>产品防摔要求</t>
  </si>
  <si>
    <t>1、模拟车子0速侧倒对功率计无影响   
2、模拟25km/h时速摔车对功率计无影响</t>
  </si>
  <si>
    <t>激活方式</t>
  </si>
  <si>
    <t xml:space="preserve">  □不启用     ■首次使用激活  □激活码激活</t>
  </si>
  <si>
    <t>升级方式</t>
  </si>
  <si>
    <t>顽鹿运动升级</t>
  </si>
  <si>
    <t>是否需要体验店版</t>
  </si>
  <si>
    <t>□是     ■否
如是，请描述是否有特殊要求：</t>
  </si>
  <si>
    <t>上市时间</t>
  </si>
  <si>
    <t>2027Q4</t>
  </si>
  <si>
    <t>参数信息</t>
  </si>
  <si>
    <t>功率范围</t>
  </si>
  <si>
    <t>0-2500W</t>
  </si>
  <si>
    <t>功率精度</t>
  </si>
  <si>
    <t>±1.0%
</t>
  </si>
  <si>
    <t>最大骑手重量</t>
  </si>
  <si>
    <t>120kg</t>
  </si>
  <si>
    <t>踏频范围</t>
  </si>
  <si>
    <t>20-240rpm</t>
  </si>
  <si>
    <t>踏频精度</t>
  </si>
  <si>
    <t>±1rpm</t>
  </si>
  <si>
    <t>供电方式</t>
  </si>
  <si>
    <t>■锂电池  □干电池  □自发电</t>
  </si>
  <si>
    <t>充电条件</t>
  </si>
  <si>
    <t>适配器：5V 1A
充电时间：3h</t>
  </si>
  <si>
    <t>电池续航时间</t>
  </si>
  <si>
    <t>充电锂电池160小时工作</t>
  </si>
  <si>
    <t>电池要求</t>
  </si>
  <si>
    <t>满足欧盟法规，电池可拆卸</t>
  </si>
  <si>
    <t>充电环境</t>
  </si>
  <si>
    <t>0-45℃，支持0V起充</t>
  </si>
  <si>
    <t>是否有运输模式</t>
  </si>
  <si>
    <t xml:space="preserve"> ■是  □否</t>
  </si>
  <si>
    <t>材质</t>
  </si>
  <si>
    <r>
      <rPr>
        <color rgb="FF000000"/>
        <rFont val="微软雅黑"/>
        <sz val="12"/>
      </rPr>
      <t xml:space="preserve">轴心</t>
    </r>
    <r>
      <rPr>
        <color rgb="FF000000"/>
        <rFont val="微软雅黑"/>
        <sz val="11"/>
      </rPr>
      <t xml:space="preserve"> 沉淀硬化型不锈钢 </t>
    </r>
  </si>
  <si>
    <t>脚踏本体 长碳纤维注塑</t>
  </si>
  <si>
    <t>规格</t>
  </si>
  <si>
    <t>KEO制式脚踏、SPD-SL制式脚踏、SPD制式脚踏</t>
  </si>
  <si>
    <t>重量</t>
  </si>
  <si>
    <t>Look Keo规格 249g、禧玛诺SPD-SL规格 249g、山地385g（不高于）</t>
  </si>
  <si>
    <t>适配</t>
  </si>
  <si>
    <t>通用曲柄脚踏孔9/16英寸</t>
  </si>
  <si>
    <t>脚踏适配KEO制式的主流锁片0°、3°、6°
脚踏适配SPD-SL制式的主流锁片红、蓝、黄
脚踏适配SPD制式的主流锁片</t>
  </si>
  <si>
    <t>机械性能</t>
  </si>
  <si>
    <t>满足并优于新国标，需要进行摸底测试</t>
  </si>
  <si>
    <t>蓝牙传输距离</t>
  </si>
  <si>
    <t>大于20m</t>
  </si>
  <si>
    <t>传输和充电接口</t>
  </si>
  <si>
    <t>■磁吸式  □其他________</t>
  </si>
  <si>
    <t>配套使用产品</t>
  </si>
  <si>
    <t>配套</t>
  </si>
  <si>
    <t>双头磁吸充电线</t>
  </si>
  <si>
    <t>1mm曲柄垫圈</t>
  </si>
  <si>
    <t>堆高</t>
  </si>
  <si>
    <r>
      <rPr>
        <color rgb="FF262626"/>
        <rFont val="微软雅黑"/>
        <sz val="12"/>
      </rPr>
      <t xml:space="preserve">Look Keo规格堆高11mm 、禧玛诺SPD-SL</t>
    </r>
    <r>
      <rPr>
        <color rgb="FF000000"/>
        <rFont val="微软雅黑"/>
        <sz val="12"/>
      </rPr>
      <t xml:space="preserve">规格堆高11mm、SPD规格堆高12mm（不高于）</t>
    </r>
  </si>
  <si>
    <t>Q-factor</t>
  </si>
  <si>
    <t>53mm</t>
  </si>
  <si>
    <t>功能配置</t>
  </si>
  <si>
    <t>维度1</t>
  </si>
  <si>
    <t>功能1</t>
  </si>
  <si>
    <t>功率</t>
  </si>
  <si>
    <t>维度2</t>
  </si>
  <si>
    <t>功能2</t>
  </si>
  <si>
    <t>踏频</t>
  </si>
  <si>
    <t>维度3</t>
  </si>
  <si>
    <t>功能3</t>
  </si>
  <si>
    <t>踩踏平顺度</t>
  </si>
  <si>
    <t>维度4</t>
  </si>
  <si>
    <t>功能4</t>
  </si>
  <si>
    <t>功率分布、左右平衡</t>
  </si>
  <si>
    <t>维度5</t>
  </si>
  <si>
    <t>功能5</t>
  </si>
  <si>
    <t>站、坐姿骑行</t>
  </si>
  <si>
    <t>维度6</t>
  </si>
  <si>
    <t>功能6</t>
  </si>
  <si>
    <t>自动校准、手动校准        </t>
  </si>
  <si>
    <t>维度7</t>
  </si>
  <si>
    <t>功能7</t>
  </si>
  <si>
    <t>PCO</t>
  </si>
  <si>
    <t>维度8</t>
  </si>
  <si>
    <t>功能8</t>
  </si>
  <si>
    <t>基于PCO功能，检测锁片位置，需要在锁片设定不正确（如明显不对称）时提示用户</t>
  </si>
  <si>
    <t>维度9</t>
  </si>
  <si>
    <t>功能9</t>
  </si>
  <si>
    <t>基于功率分布和左右平衡，在发力方向不正确或左右明显不平衡时提示用户</t>
  </si>
  <si>
    <t>蓝牙功能</t>
  </si>
  <si>
    <r>
      <rPr>
        <color rgb="FF262626"/>
        <rFont val="微软雅黑"/>
        <sz val="12"/>
      </rPr>
      <t xml:space="preserve">1.电量 2.功率 3.踏频 4..踩踏平顺度.5.功率分布 6.修改曲柄长度 7.零点校准 8.SN码 </t>
    </r>
    <r>
      <t xml:space="preserve">
</t>
    </r>
    <r>
      <rPr>
        <color rgb="FF262626"/>
        <rFont val="微软雅黑"/>
        <sz val="12"/>
      </rPr>
      <t xml:space="preserve">9.通过迈金服务产品激活小程序或</t>
    </r>
    <r>
      <rPr>
        <color rgb="FFFE0300"/>
        <rFont val="微软雅黑"/>
        <sz val="12"/>
      </rPr>
      <t xml:space="preserve">顽鹿运动</t>
    </r>
    <r>
      <rPr>
        <color rgb="FF262626"/>
        <rFont val="微软雅黑"/>
        <sz val="12"/>
      </rPr>
      <t xml:space="preserve"> App进行首次使用激活 10.左右平衡</t>
    </r>
  </si>
  <si>
    <t>ANT+功能</t>
  </si>
  <si>
    <t>1.电量 2.功率 3.踏频 4..踩踏平顺度.5.功率分布 6.站、坐姿骑行
 7.修改曲柄长度 8.零点校准 9.SN码 10.厂商ID  11.左右平衡</t>
  </si>
  <si>
    <t>NFC</t>
  </si>
  <si>
    <t xml:space="preserve">□支持  ■不支持 </t>
  </si>
  <si>
    <t>LED逻辑</t>
  </si>
  <si>
    <t>1.功率计唤醒后，蓝色LED指示灯会缓慢闪烁，此时左侧功率计正在搜索右侧；
2. 左右连接成功连接后，蓝色灯会常亮30秒；
3. 左侧功率计被手机等支持蓝牙设备连接时也会常亮30秒。
当蓝色LED指示灯快闪时，表示功率计正在连接设备。
当蓝色LED指示灯常亮时，表示功率计已成功连接设备。
4.当红色LED指示灯每10秒闪烁1次，或您发现功率计无法
搜索连接，可能功率计电池已经耗尽，此时请尽快充电。
5. 充电器连接，绿色LED指示灯亮起，并开始闪烁。
当设备电池充满后，绿色LED指示灯常亮5秒后熄灭。
</t>
  </si>
  <si>
    <t>适配APP</t>
  </si>
  <si>
    <t>顽鹿竞技、顽鹿运动、迈金助手、​Magene Utility、TrainerRoad、Wahoo Fitness</t>
  </si>
  <si>
    <t>适配码表、外设</t>
  </si>
  <si>
    <t>Magene、Garmin、Wahoo、iGPSPORT、Bryton、行者、黑鸟Apple watch手表，Garmin 手表，同时适配骑行台的数据采集；</t>
  </si>
  <si>
    <t>市场信息</t>
  </si>
  <si>
    <t>产品型号</t>
  </si>
  <si>
    <t>P725锁踏功率计</t>
  </si>
  <si>
    <t>产品定位</t>
  </si>
  <si>
    <t>高端</t>
  </si>
  <si>
    <t>目标售价（元）</t>
  </si>
  <si>
    <t>¥3599/$599</t>
  </si>
  <si>
    <t>目标毛利（元）</t>
  </si>
  <si>
    <t>目标成本（元）</t>
  </si>
  <si>
    <t>682.876（预估不含税）</t>
  </si>
  <si>
    <t>材料</t>
  </si>
  <si>
    <t>材料成本</t>
  </si>
  <si>
    <t>加工费</t>
  </si>
  <si>
    <t>委外加工费</t>
  </si>
  <si>
    <t>人工</t>
  </si>
  <si>
    <t>直接人工</t>
  </si>
  <si>
    <t>license费</t>
  </si>
  <si>
    <t>单台产品的license费用</t>
  </si>
  <si>
    <t>费用</t>
  </si>
  <si>
    <t>变动制造费用</t>
  </si>
  <si>
    <t>过程质量成本</t>
  </si>
  <si>
    <t>管理费用分摊</t>
  </si>
  <si>
    <t>合计</t>
  </si>
  <si>
    <t>以上费用累加</t>
  </si>
  <si>
    <t>生命周期（年）</t>
  </si>
  <si>
    <t>质保期限（年）</t>
  </si>
  <si>
    <t>使用频次</t>
  </si>
  <si>
    <t>60h每月</t>
  </si>
  <si>
    <t>目标销量</t>
  </si>
  <si>
    <t>第一年</t>
  </si>
  <si>
    <t>第二年</t>
  </si>
  <si>
    <t>第三年</t>
  </si>
  <si>
    <t>总计</t>
  </si>
  <si>
    <t>包装要求</t>
  </si>
  <si>
    <t>包装方式/包装盒类型</t>
  </si>
  <si>
    <t>精裱对开盒型，说明书、装饰纸盖、泡棉内衬、充电线组、配件；</t>
  </si>
  <si>
    <t>包装明细</t>
  </si>
  <si>
    <t>功率计包装：脚踏功率计*2、磁吸充电线*，1mm曲柄垫圈*2，快速使用指南*1、重要信息提醒*1</t>
  </si>
  <si>
    <t>标签要求</t>
  </si>
  <si>
    <t>1、产品名称、型号2、ANT+ ID、物料号3、条码4、公司名称、地址、网址、邮箱</t>
  </si>
  <si>
    <t>发货运输方式</t>
  </si>
  <si>
    <t>国内陆运、海外代理海运、海外经销商门店走空运或快递</t>
  </si>
  <si>
    <t>展示要求/市场推广样机需求</t>
  </si>
  <si>
    <t>样机需求</t>
  </si>
  <si>
    <t>标杆产品需求：DVT阶段车队送测、Shane Miller送测
PVT阶段、20套用于beta测试及kol评测、制作市场宣传物料</t>
  </si>
  <si>
    <t>展示内容和要求</t>
  </si>
  <si>
    <t>宣传视频、安装视频</t>
  </si>
  <si>
    <t>特殊要求</t>
  </si>
  <si>
    <t>特殊使用场景</t>
  </si>
  <si>
    <t>同时支持山地/公路场景，轴心共用，需要满足山地强度要求</t>
  </si>
  <si>
    <t>用户特殊要求</t>
  </si>
  <si>
    <r>
      <rPr>
        <color rgb="FF000000"/>
        <rFont val="Times New Roman"/>
        <sz val="10.5"/>
      </rPr>
      <t xml:space="preserve">N/A</t>
    </r>
  </si>
  <si>
    <t>第三方报告</t>
  </si>
  <si>
    <t>工艺要求</t>
  </si>
  <si>
    <t>特殊材料要求</t>
  </si>
  <si>
    <t>特殊工艺要求</t>
  </si>
  <si>
    <t>型号</t>
  </si>
  <si>
    <t>成本含税</t>
  </si>
  <si>
    <t>预估成本未税
rmb</t>
  </si>
  <si>
    <t>出厂价
rmb最低价</t>
  </si>
  <si>
    <t>迈金毛利润率</t>
  </si>
  <si>
    <t>预估成本
usd</t>
  </si>
  <si>
    <t>出厂价
usd最低价</t>
  </si>
  <si>
    <t>备注</t>
  </si>
  <si>
    <t>中国区</t>
  </si>
  <si>
    <t>中国
零售价</t>
  </si>
  <si>
    <t>中国代理价
rmb</t>
  </si>
  <si>
    <t>代理利润率</t>
  </si>
  <si>
    <t>中国门店
rmb</t>
  </si>
  <si>
    <t>门店利润率</t>
  </si>
  <si>
    <t>门店拿货迈金毛利率</t>
  </si>
  <si>
    <t>欧美区</t>
  </si>
  <si>
    <t>零售价
含VAT</t>
  </si>
  <si>
    <t>欧洲
零售价usd未税</t>
  </si>
  <si>
    <t>欧洲代理价</t>
  </si>
  <si>
    <t>代理运费
(海运)</t>
  </si>
  <si>
    <t>门店运费
（快递）</t>
  </si>
  <si>
    <t>销售VAT</t>
  </si>
  <si>
    <t>进口关税</t>
  </si>
  <si>
    <t>代理商落地价
（不含VAT）</t>
  </si>
  <si>
    <t>欧洲门店
代理拿货价</t>
  </si>
  <si>
    <t>欧洲门店
迈金拿货价</t>
  </si>
  <si>
    <t>欧洲门店
落地价</t>
  </si>
  <si>
    <t>迈金利润率</t>
  </si>
  <si>
    <t>货币</t>
  </si>
  <si>
    <t>USD</t>
  </si>
  <si>
    <t>电商区</t>
  </si>
  <si>
    <t>天猫京东
rmb</t>
  </si>
  <si>
    <t>亚马逊
usd</t>
  </si>
  <si>
    <t>速卖通
usd</t>
  </si>
  <si>
    <t>销售政策：</t>
  </si>
  <si>
    <t>1. 在已有代理区域，自营及跨境电商应按照上述含税零售价销售。不应以赠送配件或者产品包的方式变相降价。</t>
  </si>
  <si>
    <t>2. 在已有独家代理区域，自营电商，跨境电商不允许低价批发给当地零售商。不允许跨境电商在该区域内线上平台直接跨境销售；通过自营电商和国内的跨境平台销售到该区域要遵守该区域的含税零售价；如代理投诉跨境平台影响其销售，需禁止所有跨境平台向该区域销售。</t>
  </si>
  <si>
    <t>3. 在尚未有代理的区域，按照谈代理的进度，业务员可以要求自营电商以及跨境电商按照该区域的含税零售价调整零售价。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</si>
</sst>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
    <numFmt numFmtId="165" formatCode="0_ "/>
    <numFmt numFmtId="166" formatCode="0.00000"/>
    <numFmt numFmtId="167" formatCode="0.0000"/>
    <numFmt numFmtId="168" formatCode="0.0%"/>
  </numFmts>
  <fonts count="5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2"/>
      <color rgb="FF000000"/>
      <name val="微软雅黑"/>
    </font>
    <font>
      <sz val="12"/>
      <color rgb="FF262626"/>
      <name val="微软雅黑"/>
    </font>
    <font>
      <sz val="12"/>
      <color rgb="FF404040"/>
      <name val="微软雅黑"/>
    </font>
    <font>
      <sz val="10"/>
      <color rgb="FF000000"/>
      <name val="Times New Roman"/>
    </font>
    <font>
      <sz val="11"/>
      <color rgb="FF000000"/>
      <name val="宋体"/>
    </font>
    <font>
      <sz val="12"/>
      <color rgb="FFF5222D"/>
      <name val="微软雅黑"/>
    </font>
    <font>
      <sz val="11"/>
      <color rgb="FF000000"/>
      <name val="微软雅黑"/>
    </font>
    <font>
      <sz val="11"/>
      <color rgb="FF262626"/>
      <name val="微软雅黑"/>
    </font>
    <font>
      <b/>
      <sz val="12"/>
      <color rgb="FF000000"/>
      <name val="微软雅黑"/>
    </font>
    <font>
      <b/>
      <sz val="12"/>
      <color rgb="FF262626"/>
      <name val="微软雅黑"/>
    </font>
    <font>
      <b/>
      <sz val="12"/>
      <color rgb="FF404040"/>
      <name val="微软雅黑"/>
    </font>
    <font>
      <sz val="12"/>
      <color rgb="FF000000"/>
      <name val="宋体"/>
    </font>
    <font>
      <sz val="12"/>
      <color rgb="FFFF0000"/>
      <name val="微软雅黑"/>
    </font>
    <font>
      <b/>
      <sz val="10"/>
      <color rgb="FF000000"/>
      <name val="Microsoft YaHei Light"/>
    </font>
    <font>
      <b/>
      <sz val="12"/>
      <color rgb="FF000000"/>
      <name val="Microsoft YaHei Light"/>
    </font>
    <font>
      <b/>
      <sz val="11"/>
      <color rgb="FF000000"/>
      <name val="Microsoft YaHei Light"/>
    </font>
    <font>
      <sz val="12"/>
      <color rgb="FF000000"/>
      <name val="等线"/>
    </font>
    <font>
      <sz val="10"/>
    </font>
    <font>
      <sz val="11"/>
      <color rgb="FFFE0300"/>
      <name val="微软雅黑"/>
    </font>
    <font>
      <sz val="12"/>
      <color rgb="FF262626"/>
      <name val="微软雅黑"/>
    </font>
    <font>
      <sz val="12"/>
      <color rgb="FF262626"/>
      <name val="微软雅黑"/>
    </font>
    <font>
      <sz val="12"/>
      <color rgb="FF000000"/>
      <name val="微软雅黑"/>
    </font>
    <font>
      <sz val="12"/>
      <color rgb="FF262626"/>
      <name val="微软雅黑"/>
    </font>
    <font>
      <sz val="12"/>
      <color rgb="FF262626"/>
      <name val="微软雅黑"/>
    </font>
    <font>
      <sz val="12"/>
      <color rgb="FF000000"/>
      <name val="微软雅黑"/>
    </font>
    <font>
      <sz val="12"/>
      <color rgb="FF000000"/>
      <name val="微软雅黑"/>
    </font>
    <font>
      <sz val="12"/>
      <color rgb="FF262626"/>
      <name val="微软雅黑"/>
    </font>
    <font>
      <sz val="12"/>
      <color rgb="FF262626"/>
      <name val="微软雅黑"/>
    </font>
    <font>
      <sz val="12"/>
      <color rgb="FF262626"/>
      <name val="微软雅黑"/>
    </font>
    <font>
      <sz val="12"/>
      <color rgb="FF262626"/>
      <name val="微软雅黑"/>
    </font>
    <font>
      <sz val="12"/>
      <color rgb="FF262626"/>
      <name val="微软雅黑"/>
    </font>
    <font>
      <sz val="12"/>
      <color rgb="FF262626"/>
      <name val="微软雅黑"/>
    </font>
    <font>
      <sz val="12"/>
      <color rgb="FF000000"/>
      <name val="微软雅黑"/>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
      <b/>
      <sz val="10"/>
      <color rgb="FF000000"/>
      <name val="Microsoft YaHei Light"/>
    </font>
  </fonts>
  <fills count="11">
    <fill>
      <patternFill patternType="none"/>
    </fill>
    <fill>
      <patternFill patternType="gray125"/>
    </fill>
    <fill>
      <patternFill patternType="solid">
        <fgColor rgb="FFFFFFFF"/>
      </patternFill>
    </fill>
    <fill>
      <patternFill patternType="solid">
        <fgColor rgb="FFFFFF00"/>
      </patternFill>
    </fill>
    <fill>
      <patternFill patternType="solid">
        <fgColor rgb="FFE36C09"/>
      </patternFill>
    </fill>
    <fill>
      <patternFill patternType="solid">
        <fgColor rgb="FFEEECE1"/>
      </patternFill>
    </fill>
    <fill>
      <patternFill patternType="solid">
        <fgColor rgb="FF9BBB59"/>
      </patternFill>
    </fill>
    <fill>
      <patternFill patternType="solid">
        <fgColor rgb="FFDAEEF3"/>
      </patternFill>
    </fill>
    <fill>
      <patternFill patternType="solid">
        <fgColor rgb="FF92D050"/>
      </patternFill>
    </fill>
    <fill>
      <patternFill patternType="solid">
        <fgColor rgb="FFFCC102"/>
      </patternFill>
    </fill>
    <fill>
      <patternFill patternType="solid">
        <fgColor rgb="FF5B9BD5"/>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ck">
        <color rgb="FF000000"/>
      </right>
      <top style="thick">
        <color rgb="FF000000"/>
      </top>
      <bottom style="thick">
        <color rgb="FF000000"/>
      </bottom>
      <diagonal/>
    </border>
    <border>
      <left/>
      <right style="thick">
        <color rgb="FF000000"/>
      </right>
      <top style="thick">
        <color rgb="FF000000"/>
      </top>
      <bottom/>
      <diagonal/>
    </border>
    <border>
      <left style="thick">
        <color rgb="FF000000"/>
      </left>
      <right style="thick">
        <color rgb="FF000000"/>
      </right>
      <top/>
      <bottom style="thick">
        <color rgb="FF000000"/>
      </bottom>
      <diagonal/>
    </border>
    <border>
      <left/>
      <right style="thick">
        <color rgb="FF000000"/>
      </right>
      <top/>
      <bottom style="thick">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70">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bottom"/>
    </xf>
    <xf numFmtId="0" fontId="4" fillId="2" borderId="1" xfId="0" applyFont="1" applyFill="1" applyBorder="1" applyProtection="1">
      <alignment horizontal="left" vertical="center" wrapText="1"/>
    </xf>
    <xf numFmtId="0" fontId="4" fillId="0" borderId="1" xfId="0" applyFont="1" applyBorder="1" applyProtection="1">
      <alignment horizontal="general" vertical="center" wrapText="1"/>
    </xf>
    <xf numFmtId="0" fontId="5" fillId="2" borderId="1" xfId="0" applyFont="1" applyFill="1" applyBorder="1" applyProtection="1">
      <alignment horizontal="left" vertical="center" wrapText="1"/>
    </xf>
    <xf numFmtId="0" fontId="5" fillId="2" borderId="1" xfId="0" applyFont="1" applyFill="1" applyBorder="1" applyProtection="1">
      <alignment horizontal="center" vertical="center" wrapText="1"/>
    </xf>
    <xf numFmtId="0" fontId="5" fillId="3" borderId="1" xfId="0" applyFont="1" applyFill="1" applyBorder="1" applyProtection="1">
      <alignment horizontal="general" vertical="center" wrapText="1"/>
    </xf>
    <xf numFmtId="0" fontId="6" fillId="0" borderId="1" xfId="0" applyFont="1" applyBorder="1" applyProtection="1">
      <alignment horizontal="left" vertical="center" wrapText="1"/>
    </xf>
    <xf numFmtId="0" fontId="5" fillId="0" borderId="1" xfId="0" applyFont="1" applyBorder="1" applyProtection="1">
      <alignment horizontal="center" vertical="center" wrapText="1"/>
    </xf>
    <xf numFmtId="0" fontId="4" fillId="0" borderId="1" xfId="0" applyFont="1" applyBorder="1" applyProtection="1">
      <alignment horizontal="left" vertical="bottom"/>
    </xf>
    <xf numFmtId="0" fontId="4" fillId="0" borderId="1" xfId="0" applyFont="1" applyBorder="1" applyProtection="1">
      <alignment horizontal="center" vertical="bottom"/>
    </xf>
    <xf numFmtId="0" fontId="4" fillId="0" borderId="1" xfId="0" applyFont="1" applyBorder="1" applyProtection="1">
      <alignment horizontal="general" vertical="bottom" wrapText="1"/>
    </xf>
    <xf numFmtId="0" fontId="7" fillId="0" borderId="1" xfId="0" applyFont="1" applyBorder="1" applyProtection="1">
      <alignment horizontal="justify" vertical="bottom"/>
    </xf>
    <xf numFmtId="0" fontId="8" fillId="0" borderId="0" xfId="0" applyFont="1">
      <alignment horizontal="general" vertical="center"/>
    </xf>
    <xf numFmtId="0" fontId="4" fillId="0" borderId="2" xfId="0" applyFont="1" applyBorder="1" applyProtection="1">
      <alignment horizontal="left" vertical="center" wrapText="1"/>
    </xf>
    <xf numFmtId="164" fontId="9" fillId="0" borderId="1" xfId="0" applyNumberFormat="1" applyFont="1" applyBorder="1" applyProtection="1">
      <alignment horizontal="left" vertical="center" wrapText="1"/>
    </xf>
    <xf numFmtId="0" fontId="4" fillId="3" borderId="1" xfId="0" applyFont="1" applyFill="1" applyBorder="1" applyProtection="1">
      <alignment horizontal="left" vertical="center" wrapText="1"/>
    </xf>
    <xf numFmtId="0" fontId="10" fillId="0" borderId="1" xfId="0" applyFont="1" applyBorder="1" applyProtection="1">
      <alignment horizontal="left" vertical="center" wrapText="1"/>
    </xf>
    <xf numFmtId="0" fontId="11" fillId="0" borderId="3" xfId="0" applyFont="1" applyBorder="1" applyProtection="1">
      <alignment horizontal="general" vertical="center" wrapText="1"/>
    </xf>
    <xf numFmtId="0" fontId="4" fillId="0" borderId="1" xfId="0" applyFont="1" applyBorder="1" applyProtection="1">
      <alignment horizontal="center" vertical="center"/>
    </xf>
    <xf numFmtId="0" fontId="4" fillId="4" borderId="4" xfId="0" applyFont="1" applyFill="1" applyBorder="1" applyProtection="1">
      <alignment horizontal="center" vertical="bottom"/>
    </xf>
    <xf numFmtId="0" fontId="4" fillId="4" borderId="1" xfId="0" applyFont="1" applyFill="1" applyBorder="1" applyProtection="1">
      <alignment horizontal="center" vertical="center"/>
    </xf>
    <xf numFmtId="0" fontId="4" fillId="0" borderId="4" xfId="0" applyFont="1" applyBorder="1" applyProtection="1">
      <alignment horizontal="center" vertical="bottom"/>
    </xf>
    <xf numFmtId="0" fontId="12" fillId="4" borderId="1" xfId="0" applyFont="1" applyFill="1" applyBorder="1" applyProtection="1">
      <alignment horizontal="center" vertical="center"/>
    </xf>
    <xf numFmtId="0" fontId="12" fillId="0" borderId="1" xfId="0" applyFont="1" applyBorder="1" applyProtection="1">
      <alignment horizontal="center" vertical="bottom"/>
    </xf>
    <xf numFmtId="0" fontId="12" fillId="0" borderId="5" xfId="0" applyFont="1" applyBorder="1" applyProtection="1">
      <alignment horizontal="center" vertical="bottom"/>
    </xf>
    <xf numFmtId="0" fontId="12" fillId="5" borderId="1" xfId="0" applyFont="1" applyFill="1" applyBorder="1" applyProtection="1">
      <alignment horizontal="center" vertical="bottom"/>
    </xf>
    <xf numFmtId="0" fontId="12" fillId="0" borderId="4" xfId="0" applyFont="1" applyBorder="1" applyProtection="1">
      <alignment horizontal="center" vertical="bottom"/>
    </xf>
    <xf numFmtId="0" fontId="12" fillId="0" borderId="6" xfId="0" applyFont="1" applyBorder="1" applyProtection="1">
      <alignment horizontal="general" vertical="bottom"/>
    </xf>
    <xf numFmtId="0" fontId="13" fillId="0" borderId="4" xfId="0" applyFont="1" applyBorder="1" applyProtection="1">
      <alignment horizontal="center" vertical="center" wrapText="1"/>
    </xf>
    <xf numFmtId="0" fontId="13" fillId="0" borderId="6" xfId="0" applyFont="1" applyBorder="1" applyProtection="1">
      <alignment horizontal="center" vertical="center" wrapText="1"/>
    </xf>
    <xf numFmtId="49" fontId="12" fillId="0" borderId="1" xfId="0" applyNumberFormat="1" applyFont="1" applyBorder="1" applyProtection="1">
      <alignment horizontal="center" vertical="center"/>
    </xf>
    <xf numFmtId="0" fontId="12" fillId="0" borderId="4" xfId="0" applyFont="1" applyBorder="1" applyProtection="1">
      <alignment horizontal="center" vertical="center" wrapText="1"/>
    </xf>
    <xf numFmtId="0" fontId="12" fillId="0" borderId="6" xfId="0" applyFont="1" applyBorder="1" applyProtection="1">
      <alignment horizontal="center" vertical="center" wrapText="1"/>
    </xf>
    <xf numFmtId="0" fontId="13" fillId="0" borderId="1" xfId="0" applyFont="1" applyBorder="1" applyProtection="1">
      <alignment horizontal="center" vertical="center" wrapText="1"/>
    </xf>
    <xf numFmtId="0" fontId="13" fillId="0" borderId="2" xfId="0" applyFont="1" applyBorder="1" applyProtection="1">
      <alignment horizontal="center" vertical="center" wrapText="1"/>
    </xf>
    <xf numFmtId="0" fontId="12" fillId="6" borderId="3" xfId="0" applyFont="1" applyFill="1" applyBorder="1" applyProtection="1">
      <alignment horizontal="general" vertical="center" wrapText="1"/>
    </xf>
    <xf numFmtId="0" fontId="12" fillId="0" borderId="6" xfId="0" applyFont="1" applyBorder="1" applyProtection="1">
      <alignment horizontal="center" vertical="bottom"/>
    </xf>
    <xf numFmtId="0" fontId="13" fillId="3" borderId="4" xfId="0" applyFont="1" applyFill="1" applyBorder="1" applyProtection="1">
      <alignment horizontal="center" vertical="center" wrapText="1"/>
    </xf>
    <xf numFmtId="0" fontId="13" fillId="3" borderId="6" xfId="0" applyFont="1" applyFill="1" applyBorder="1" applyProtection="1">
      <alignment horizontal="center" vertical="center" wrapText="1"/>
    </xf>
    <xf numFmtId="0" fontId="14" fillId="0" borderId="1" xfId="0" applyFont="1" applyBorder="1" applyProtection="1">
      <alignment horizontal="center" vertical="center" wrapText="1"/>
    </xf>
    <xf numFmtId="0" fontId="13" fillId="5" borderId="1" xfId="0" applyFont="1" applyFill="1" applyBorder="1" applyProtection="1">
      <alignment horizontal="center" vertical="center" wrapText="1"/>
    </xf>
    <xf numFmtId="0" fontId="4" fillId="0" borderId="1" xfId="0" applyFont="1" applyBorder="1" applyProtection="1">
      <alignment horizontal="center" vertical="center" wrapText="1"/>
    </xf>
    <xf numFmtId="0" fontId="15" fillId="0" borderId="4" xfId="0" applyFont="1" applyBorder="1" applyProtection="1">
      <alignment horizontal="center" vertical="center" wrapText="1"/>
    </xf>
    <xf numFmtId="0" fontId="15" fillId="0" borderId="6" xfId="0" applyFont="1" applyBorder="1" applyProtection="1">
      <alignment horizontal="center" vertical="center" wrapText="1"/>
    </xf>
    <xf numFmtId="0" fontId="8" fillId="0" borderId="3" xfId="0" applyFont="1" applyBorder="1" applyProtection="1">
      <alignment horizontal="general" vertical="bottom"/>
    </xf>
    <xf numFmtId="0" fontId="12" fillId="0" borderId="1" xfId="0" applyFont="1" applyBorder="1" applyProtection="1">
      <alignment horizontal="center" vertical="center" wrapText="1"/>
    </xf>
    <xf numFmtId="0" fontId="13" fillId="3" borderId="1" xfId="0" applyFont="1" applyFill="1" applyBorder="1" applyProtection="1">
      <alignment horizontal="center" vertical="center" wrapText="1"/>
    </xf>
    <xf numFmtId="0" fontId="12" fillId="3" borderId="1" xfId="0" applyFont="1" applyFill="1" applyBorder="1" applyProtection="1">
      <alignment horizontal="center" vertical="center" wrapText="1"/>
    </xf>
    <xf numFmtId="0" fontId="12" fillId="7" borderId="1" xfId="0" applyFont="1" applyFill="1" applyBorder="1" applyProtection="1">
      <alignment horizontal="center" vertical="center"/>
    </xf>
    <xf numFmtId="0" fontId="16" fillId="0" borderId="1" xfId="0" applyFont="1" applyBorder="1" applyProtection="1">
      <alignment horizontal="left" vertical="center" wrapText="1"/>
    </xf>
    <xf numFmtId="0" fontId="8" fillId="0" borderId="0" xfId="0" applyFont="1">
      <alignment horizontal="general" vertical="bottom"/>
    </xf>
    <xf numFmtId="0" fontId="10" fillId="0" borderId="0" xfId="0" applyFont="1">
      <alignment horizontal="general" vertical="bottom"/>
    </xf>
    <xf numFmtId="0" fontId="17" fillId="0" borderId="7" xfId="0" applyFont="1" applyBorder="1" applyProtection="1">
      <alignment horizontal="center" vertical="center"/>
    </xf>
    <xf numFmtId="0" fontId="17" fillId="0" borderId="8" xfId="0" applyFont="1" applyBorder="1" applyProtection="1">
      <alignment horizontal="center" vertical="center"/>
    </xf>
    <xf numFmtId="0" fontId="17" fillId="0" borderId="9" xfId="0" applyFont="1" applyBorder="1" applyProtection="1">
      <alignment horizontal="center" vertical="center"/>
    </xf>
    <xf numFmtId="0" fontId="17" fillId="0" borderId="10" xfId="0" applyFont="1" applyBorder="1" applyProtection="1">
      <alignment horizontal="center" vertical="center"/>
    </xf>
    <xf numFmtId="0" fontId="17" fillId="8" borderId="10" xfId="0" applyFont="1" applyFill="1" applyBorder="1" applyProtection="1">
      <alignment horizontal="center" vertical="center"/>
    </xf>
    <xf numFmtId="10" fontId="17" fillId="3" borderId="10" xfId="0" applyNumberFormat="1" applyFont="1" applyFill="1" applyBorder="1" applyProtection="1">
      <alignment horizontal="center" vertical="center"/>
    </xf>
    <xf numFmtId="10" fontId="17" fillId="9" borderId="7" xfId="0" applyNumberFormat="1" applyFont="1" applyFill="1" applyBorder="1" applyProtection="1">
      <alignment horizontal="center" vertical="center"/>
    </xf>
    <xf numFmtId="0" fontId="17" fillId="0" borderId="11" xfId="0" applyFont="1" applyBorder="1" applyProtection="1">
      <alignment horizontal="center" vertical="center"/>
    </xf>
    <xf numFmtId="0" fontId="17" fillId="0" borderId="0" xfId="0" applyFont="1">
      <alignment horizontal="center" vertical="center"/>
    </xf>
    <xf numFmtId="0" fontId="17" fillId="0" borderId="0" xfId="0" applyFont="1">
      <alignment horizontal="general" vertical="center"/>
    </xf>
    <xf numFmtId="0" fontId="17" fillId="0" borderId="0" xfId="0" applyFont="1">
      <alignment horizontal="general" vertical="bottom"/>
    </xf>
    <xf numFmtId="0" fontId="18" fillId="0" borderId="0" xfId="0" applyFont="1">
      <alignment horizontal="general" vertical="center"/>
    </xf>
    <xf numFmtId="0" fontId="17" fillId="0" borderId="10" xfId="0" applyFont="1" applyBorder="1" applyProtection="1">
      <alignment horizontal="center" vertical="center" wrapText="1"/>
    </xf>
    <xf numFmtId="165" fontId="17" fillId="0" borderId="10" xfId="0" applyNumberFormat="1" applyFont="1" applyBorder="1" applyProtection="1">
      <alignment horizontal="center" vertical="center"/>
    </xf>
    <xf numFmtId="10" fontId="17" fillId="0" borderId="10" xfId="0" applyNumberFormat="1" applyFont="1" applyBorder="1" applyProtection="1">
      <alignment horizontal="center" vertical="center"/>
    </xf>
    <xf numFmtId="164" fontId="17" fillId="0" borderId="10" xfId="0" applyNumberFormat="1" applyFont="1" applyBorder="1" applyProtection="1">
      <alignment horizontal="center" vertical="center"/>
    </xf>
    <xf numFmtId="0" fontId="17" fillId="0" borderId="0" xfId="0" applyFont="1">
      <alignment horizontal="left" vertical="center"/>
    </xf>
    <xf numFmtId="10" fontId="17" fillId="0" borderId="0" xfId="0" applyNumberFormat="1" applyFont="1">
      <alignment horizontal="center" vertical="center"/>
    </xf>
    <xf numFmtId="164" fontId="17" fillId="0" borderId="0" xfId="0" applyNumberFormat="1" applyFont="1">
      <alignment horizontal="center" vertical="center"/>
    </xf>
    <xf numFmtId="166" fontId="17" fillId="0" borderId="0" xfId="0" applyNumberFormat="1" applyFont="1">
      <alignment horizontal="center" vertical="center"/>
    </xf>
    <xf numFmtId="0" fontId="17" fillId="0" borderId="0" xfId="0" applyFont="1">
      <alignment horizontal="center" vertical="center" wrapText="1"/>
    </xf>
    <xf numFmtId="167" fontId="17" fillId="0" borderId="0" xfId="0" applyNumberFormat="1" applyFont="1">
      <alignment horizontal="center" vertical="center" wrapText="1"/>
    </xf>
    <xf numFmtId="167" fontId="17" fillId="0" borderId="0" xfId="0" applyNumberFormat="1" applyFont="1">
      <alignment horizontal="center" vertical="center"/>
    </xf>
    <xf numFmtId="0" fontId="17" fillId="10" borderId="11" xfId="0" applyFont="1" applyFill="1" applyBorder="1" applyProtection="1">
      <alignment horizontal="center" vertical="center"/>
    </xf>
    <xf numFmtId="0" fontId="17" fillId="10" borderId="7" xfId="0" applyFont="1" applyFill="1" applyBorder="1" applyProtection="1">
      <alignment horizontal="center" vertical="center" wrapText="1"/>
    </xf>
    <xf numFmtId="0" fontId="17" fillId="10" borderId="7" xfId="0" applyFont="1" applyFill="1" applyBorder="1" applyProtection="1">
      <alignment horizontal="center" vertical="center"/>
    </xf>
    <xf numFmtId="0" fontId="17" fillId="2" borderId="9" xfId="0" applyFont="1" applyFill="1" applyBorder="1" applyProtection="1">
      <alignment horizontal="center" vertical="center"/>
    </xf>
    <xf numFmtId="0" fontId="17" fillId="2" borderId="10" xfId="0" applyFont="1" applyFill="1" applyBorder="1" applyProtection="1">
      <alignment horizontal="center" vertical="center"/>
    </xf>
    <xf numFmtId="168" fontId="17" fillId="2" borderId="10" xfId="0" applyNumberFormat="1" applyFont="1" applyFill="1" applyBorder="1" applyProtection="1">
      <alignment horizontal="center" vertical="center"/>
    </xf>
    <xf numFmtId="9" fontId="17" fillId="2" borderId="10" xfId="0" applyNumberFormat="1" applyFont="1" applyFill="1" applyBorder="1" applyProtection="1">
      <alignment horizontal="center" vertical="center" wrapText="1"/>
    </xf>
    <xf numFmtId="9" fontId="17" fillId="2" borderId="10" xfId="0" applyNumberFormat="1" applyFont="1" applyFill="1" applyBorder="1" applyProtection="1">
      <alignment horizontal="center" vertical="center"/>
    </xf>
    <xf numFmtId="2" fontId="19" fillId="2" borderId="10" xfId="0" applyNumberFormat="1" applyFont="1" applyFill="1" applyBorder="1" applyProtection="1">
      <alignment horizontal="center" vertical="center"/>
    </xf>
    <xf numFmtId="10" fontId="19" fillId="3" borderId="10" xfId="0" applyNumberFormat="1" applyFont="1" applyFill="1" applyBorder="1" applyProtection="1">
      <alignment horizontal="center" vertical="center"/>
    </xf>
    <xf numFmtId="0" fontId="19" fillId="2" borderId="10" xfId="0" applyFont="1" applyFill="1" applyBorder="1" applyProtection="1">
      <alignment horizontal="center" vertical="center"/>
    </xf>
    <xf numFmtId="0" fontId="17" fillId="2" borderId="10" xfId="0" applyFont="1" applyFill="1" applyBorder="1" applyProtection="1">
      <alignment horizontal="general" vertical="bottom"/>
    </xf>
    <xf numFmtId="0" fontId="17" fillId="2" borderId="0" xfId="0" applyFont="1" applyFill="1">
      <alignment horizontal="general" vertical="bottom"/>
    </xf>
    <xf numFmtId="168" fontId="17" fillId="0" borderId="0" xfId="0" applyNumberFormat="1" applyFont="1">
      <alignment horizontal="center" vertical="center"/>
    </xf>
    <xf numFmtId="9" fontId="17" fillId="0" borderId="0" xfId="0" applyNumberFormat="1" applyFont="1">
      <alignment horizontal="center" vertical="center" wrapText="1"/>
    </xf>
    <xf numFmtId="9" fontId="17" fillId="0" borderId="0" xfId="0" applyNumberFormat="1" applyFont="1">
      <alignment horizontal="center" vertical="center"/>
    </xf>
    <xf numFmtId="2" fontId="19" fillId="0" borderId="0" xfId="0" applyNumberFormat="1" applyFont="1">
      <alignment horizontal="center" vertical="center"/>
    </xf>
    <xf numFmtId="10" fontId="19" fillId="0" borderId="0" xfId="0" applyNumberFormat="1" applyFont="1">
      <alignment horizontal="center" vertical="center"/>
    </xf>
    <xf numFmtId="0" fontId="19" fillId="0" borderId="0" xfId="0" applyFont="1">
      <alignment horizontal="center" vertical="center"/>
    </xf>
    <xf numFmtId="0" fontId="19" fillId="0" borderId="0" xfId="0" applyFont="1">
      <alignment horizontal="general" vertical="center"/>
    </xf>
    <xf numFmtId="0" fontId="19" fillId="0" borderId="0" xfId="0" applyFont="1">
      <alignment horizontal="general" vertical="bottom"/>
    </xf>
    <xf numFmtId="0" fontId="19" fillId="0" borderId="0" xfId="0" applyFont="1">
      <alignment horizontal="left" vertical="center" wrapText="1"/>
    </xf>
    <xf numFmtId="0" fontId="17" fillId="0" borderId="0" xfId="0" applyFont="1">
      <alignment horizontal="right" vertical="bottom"/>
    </xf>
    <xf numFmtId="165" fontId="17" fillId="8" borderId="10" xfId="0" applyNumberFormat="1" applyFont="1" applyFill="1" applyBorder="1" applyProtection="1">
      <alignment horizontal="center" vertical="center"/>
    </xf>
    <xf numFmtId="0" fontId="5" fillId="3" borderId="1" xfId="0" applyFont="1" applyFill="1" applyBorder="1" applyProtection="1">
      <alignment horizontal="left" vertical="center" wrapText="1"/>
    </xf>
    <xf numFmtId="0" fontId="4" fillId="0" borderId="1" xfId="0" applyFont="1" applyBorder="1" applyProtection="1">
      <alignment horizontal="left" vertical="center" wrapText="1"/>
    </xf>
    <xf numFmtId="0" fontId="5" fillId="0" borderId="1" xfId="0" applyFont="1" applyBorder="1" applyProtection="1">
      <alignment horizontal="left" vertical="center" wrapText="1"/>
    </xf>
    <xf numFmtId="0" fontId="5" fillId="0" borderId="1" xfId="0" applyFont="1" applyBorder="1" applyProtection="1">
      <alignment horizontal="general" vertical="center" wrapText="1"/>
    </xf>
    <xf numFmtId="0" fontId="17" fillId="0" borderId="7" xfId="0" applyFont="1" applyBorder="1" applyProtection="1">
      <alignment horizontal="center" vertical="center" wrapText="1"/>
    </xf>
    <xf numFmtId="0" fontId="17" fillId="0" borderId="7" xfId="0" applyFont="1" applyBorder="1" applyProtection="1">
      <alignment horizontal="center" vertical="center" wrapText="1"/>
    </xf>
    <xf numFmtId="0" fontId="17" fillId="0" borderId="7" xfId="0" applyFont="1" applyBorder="1" applyProtection="1">
      <alignment horizontal="center" vertical="center" wrapText="1"/>
    </xf>
    <xf numFmtId="0" fontId="17" fillId="0" borderId="7" xfId="0" applyFont="1" applyBorder="1" applyProtection="1">
      <alignment horizontal="center" vertical="center" wrapText="1"/>
    </xf>
    <xf numFmtId="0" fontId="17" fillId="0" borderId="7" xfId="0" applyFont="1" applyBorder="1" applyProtection="1">
      <alignment horizontal="center" vertical="center" wrapText="1"/>
    </xf>
    <xf numFmtId="0" fontId="17" fillId="0" borderId="7" xfId="0" applyFont="1" applyBorder="1" applyProtection="1">
      <alignment horizontal="center" vertical="center" wrapText="1"/>
    </xf>
    <xf numFmtId="0" fontId="17" fillId="10" borderId="7" xfId="0" applyFont="1" applyFill="1" applyBorder="1" applyProtection="1">
      <alignment horizontal="center" vertical="center" wrapText="1"/>
    </xf>
    <xf numFmtId="0" fontId="17" fillId="10" borderId="7" xfId="0" applyFont="1" applyFill="1" applyBorder="1" applyProtection="1">
      <alignment horizontal="center" vertical="center" wrapText="1"/>
    </xf>
    <xf numFmtId="0" fontId="17" fillId="10" borderId="7" xfId="0" applyFont="1" applyFill="1" applyBorder="1" applyProtection="1">
      <alignment horizontal="center" vertical="center" wrapText="1"/>
    </xf>
    <xf numFmtId="0" fontId="17" fillId="10" borderId="7" xfId="0" applyFont="1" applyFill="1" applyBorder="1" applyProtection="1">
      <alignment horizontal="center" vertical="center" wrapText="1"/>
    </xf>
    <xf numFmtId="0" fontId="17" fillId="10" borderId="7" xfId="0" applyFont="1" applyFill="1" applyBorder="1" applyProtection="1">
      <alignment horizontal="center" vertical="center" wrapText="1"/>
    </xf>
    <xf numFmtId="0" fontId="17" fillId="10" borderId="7" xfId="0" applyFont="1" applyFill="1" applyBorder="1" applyProtection="1">
      <alignment horizontal="center" vertical="center" wrapText="1"/>
    </xf>
    <xf numFmtId="0" fontId="17" fillId="10" borderId="7" xfId="0" applyFont="1" applyFill="1" applyBorder="1" applyProtection="1">
      <alignment horizontal="center" vertical="center" wrapText="1"/>
    </xf>
    <xf numFmtId="0" fontId="17" fillId="10" borderId="7" xfId="0" applyFont="1" applyFill="1" applyBorder="1" applyProtection="1">
      <alignment horizontal="center" vertical="center" wrapText="1"/>
    </xf>
    <xf numFmtId="0" fontId="17" fillId="0" borderId="7" xfId="0" applyFont="1" applyBorder="1" applyProtection="1">
      <alignment horizontal="center" vertical="center" wrapText="1"/>
    </xf>
    <xf numFmtId="0" fontId="17" fillId="0" borderId="7" xfId="0" applyFont="1" applyBorder="1" applyProtection="1">
      <alignment horizontal="center" vertical="center" wrapText="1"/>
    </xf>
    <xf numFmtId="0" fontId="17" fillId="0" borderId="7" xfId="0" applyFont="1" applyBorder="1" applyProtection="1">
      <alignment horizontal="center" vertical="center" wrapText="1"/>
    </xf>
    <xf numFmtId="0" fontId="20" fillId="0" borderId="0" xfId="0" applyFont="1">
      <alignment horizontal="general" vertical="center"/>
    </xf>
    <xf numFmtId="0" fontId="21" fillId="0" borderId="2" xfId="0" applyFont="1" applyBorder="1" applyProtection="1">
      <alignment vertical="center"/>
    </xf>
    <xf numFmtId="0" fontId="4" fillId="0" borderId="1" xfId="0" applyFont="1" applyBorder="1" applyProtection="1">
      <alignment horizontal="center" vertical="center"/>
    </xf>
    <xf numFmtId="0" fontId="4" fillId="9" borderId="1" xfId="0" applyFont="1" applyFill="1" applyBorder="1" applyProtection="1">
      <alignment horizontal="general" vertical="center" wrapText="1"/>
    </xf>
    <xf numFmtId="0" fontId="22" fillId="0" borderId="3" xfId="0" applyFont="1" applyBorder="1" applyProtection="1">
      <alignment horizontal="general" vertical="center" wrapText="1"/>
    </xf>
    <xf numFmtId="0" fontId="17" fillId="0" borderId="11" xfId="0" applyFont="1" applyBorder="1" applyProtection="1">
      <alignment horizontal="general" vertical="center"/>
    </xf>
    <xf numFmtId="49" fontId="5" fillId="9" borderId="1" xfId="0" applyNumberFormat="1" applyFont="1" applyFill="1" applyBorder="1" applyProtection="1">
      <alignment horizontal="general" vertical="center" wrapText="1"/>
    </xf>
    <xf numFmtId="0" fontId="12" fillId="6" borderId="12" xfId="0" applyFont="1" applyFill="1" applyBorder="1" applyProtection="1">
      <alignment horizontal="general" vertical="center" wrapText="1"/>
    </xf>
    <xf numFmtId="0" fontId="12" fillId="0" borderId="13" xfId="0" applyFont="1" applyBorder="1" applyProtection="1">
      <alignment horizontal="center" vertical="bottom"/>
    </xf>
    <xf numFmtId="0" fontId="4" fillId="6" borderId="3" xfId="0" applyFont="1" applyFill="1" applyBorder="1" applyProtection="1">
      <alignment horizontal="center" vertical="bottom" wrapText="1"/>
    </xf>
    <xf numFmtId="0" fontId="12" fillId="0" borderId="14" xfId="0" applyFont="1" applyBorder="1" applyProtection="1">
      <alignment horizontal="center" vertical="bottom"/>
    </xf>
    <xf numFmtId="0" fontId="4" fillId="0" borderId="6" xfId="0" applyFont="1" applyBorder="1" applyProtection="1">
      <alignment horizontal="center" vertical="bottom" wrapText="1"/>
    </xf>
    <xf numFmtId="0" fontId="4" fillId="6" borderId="12" xfId="0" applyFont="1" applyFill="1" applyBorder="1" applyProtection="1">
      <alignment horizontal="center" vertical="bottom" wrapText="1"/>
    </xf>
    <xf numFmtId="49" fontId="23" fillId="9" borderId="1" xfId="0" applyNumberFormat="1" applyFont="1" applyFill="1" applyBorder="1" applyProtection="1">
      <alignment horizontal="general" vertical="center" wrapText="1"/>
    </xf>
    <xf numFmtId="49" fontId="24" fillId="9" borderId="1" xfId="0" applyNumberFormat="1" applyFont="1" applyFill="1" applyBorder="1" applyProtection="1">
      <alignment horizontal="general" vertical="center" wrapText="1"/>
    </xf>
    <xf numFmtId="0" fontId="25" fillId="0" borderId="1" xfId="0" applyFont="1" applyBorder="1" applyProtection="1">
      <alignment horizontal="left" vertical="center" wrapText="1"/>
    </xf>
    <xf numFmtId="0" fontId="26" fillId="3" borderId="1" xfId="0" applyFont="1" applyFill="1" applyBorder="1" applyProtection="1">
      <alignment horizontal="left" vertical="center" wrapText="1"/>
    </xf>
    <xf numFmtId="0" fontId="27" fillId="0" borderId="1" xfId="0" applyFont="1" applyBorder="1" applyProtection="1">
      <alignment horizontal="general" vertical="center" wrapText="1"/>
    </xf>
    <xf numFmtId="0" fontId="28" fillId="0" borderId="1" xfId="0" applyFont="1" applyBorder="1" applyProtection="1">
      <alignment horizontal="left" vertical="center" wrapText="1"/>
    </xf>
    <xf numFmtId="0" fontId="29" fillId="0" borderId="1" xfId="0" applyFont="1" applyBorder="1" applyProtection="1">
      <alignment horizontal="left" vertical="center" wrapText="1"/>
    </xf>
    <xf numFmtId="0" fontId="30" fillId="0" borderId="1" xfId="0" applyFont="1" applyBorder="1" applyProtection="1">
      <alignment horizontal="general" vertical="center" wrapText="1"/>
    </xf>
    <xf numFmtId="0" fontId="31" fillId="0" borderId="1" xfId="0" applyFont="1" applyBorder="1" applyProtection="1">
      <alignment horizontal="left" vertical="center" wrapText="1"/>
    </xf>
    <xf numFmtId="0" fontId="32" fillId="0" borderId="1" xfId="0" applyFont="1" applyBorder="1" applyProtection="1">
      <alignment horizontal="left" vertical="center" wrapText="1"/>
    </xf>
    <xf numFmtId="0" fontId="33" fillId="0" borderId="1" xfId="0" applyFont="1" applyBorder="1" applyProtection="1">
      <alignment horizontal="general" vertical="center" wrapText="1"/>
    </xf>
    <xf numFmtId="0" fontId="34" fillId="0" borderId="1" xfId="0" applyFont="1" applyBorder="1" applyProtection="1">
      <alignment horizontal="general" vertical="center" wrapText="1"/>
    </xf>
    <xf numFmtId="0" fontId="35" fillId="0" borderId="1" xfId="0" applyFont="1" applyBorder="1" applyProtection="1">
      <alignment horizontal="general" vertical="center" wrapText="1"/>
    </xf>
    <xf numFmtId="0" fontId="36" fillId="0" borderId="4" xfId="0" applyFont="1" applyBorder="1" applyProtection="1">
      <alignment horizontal="center" vertical="bottom" wrapText="1"/>
    </xf>
    <xf numFmtId="0" fontId="37" fillId="0" borderId="7" xfId="0" applyFont="1" applyBorder="1" applyProtection="1">
      <alignment horizontal="center" vertical="center" wrapText="1"/>
    </xf>
    <xf numFmtId="0" fontId="38" fillId="0" borderId="7" xfId="0" applyFont="1" applyBorder="1" applyProtection="1">
      <alignment horizontal="center" vertical="center" wrapText="1"/>
    </xf>
    <xf numFmtId="0" fontId="39" fillId="0" borderId="7" xfId="0" applyFont="1" applyBorder="1" applyProtection="1">
      <alignment horizontal="center" vertical="center" wrapText="1"/>
    </xf>
    <xf numFmtId="0" fontId="40" fillId="0" borderId="7" xfId="0" applyFont="1" applyBorder="1" applyProtection="1">
      <alignment horizontal="center" vertical="center" wrapText="1"/>
    </xf>
    <xf numFmtId="0" fontId="41" fillId="0" borderId="7" xfId="0" applyFont="1" applyBorder="1" applyProtection="1">
      <alignment horizontal="center" vertical="center" wrapText="1"/>
    </xf>
    <xf numFmtId="0" fontId="42" fillId="0" borderId="7" xfId="0" applyFont="1" applyBorder="1" applyProtection="1">
      <alignment horizontal="center" vertical="center" wrapText="1"/>
    </xf>
    <xf numFmtId="0" fontId="43" fillId="0" borderId="7" xfId="0" applyFont="1" applyBorder="1" applyProtection="1">
      <alignment horizontal="center" vertical="center" wrapText="1"/>
    </xf>
    <xf numFmtId="0" fontId="44" fillId="10" borderId="7" xfId="0" applyFont="1" applyFill="1" applyBorder="1" applyProtection="1">
      <alignment horizontal="center" vertical="center" wrapText="1"/>
    </xf>
    <xf numFmtId="0" fontId="45" fillId="10" borderId="7" xfId="0" applyFont="1" applyFill="1" applyBorder="1" applyProtection="1">
      <alignment horizontal="center" vertical="center" wrapText="1"/>
    </xf>
    <xf numFmtId="0" fontId="46" fillId="10" borderId="7" xfId="0" applyFont="1" applyFill="1" applyBorder="1" applyProtection="1">
      <alignment horizontal="center" vertical="center" wrapText="1"/>
    </xf>
    <xf numFmtId="0" fontId="47" fillId="10" borderId="7" xfId="0" applyFont="1" applyFill="1" applyBorder="1" applyProtection="1">
      <alignment horizontal="center" vertical="center" wrapText="1"/>
    </xf>
    <xf numFmtId="0" fontId="48" fillId="10" borderId="7" xfId="0" applyFont="1" applyFill="1" applyBorder="1" applyProtection="1">
      <alignment horizontal="center" vertical="center" wrapText="1"/>
    </xf>
    <xf numFmtId="0" fontId="49" fillId="10" borderId="7" xfId="0" applyFont="1" applyFill="1" applyBorder="1" applyProtection="1">
      <alignment horizontal="center" vertical="center" wrapText="1"/>
    </xf>
    <xf numFmtId="0" fontId="50" fillId="10" borderId="7" xfId="0" applyFont="1" applyFill="1" applyBorder="1" applyProtection="1">
      <alignment horizontal="center" vertical="center" wrapText="1"/>
    </xf>
    <xf numFmtId="0" fontId="51" fillId="10" borderId="7" xfId="0" applyFont="1" applyFill="1" applyBorder="1" applyProtection="1">
      <alignment horizontal="center" vertical="center" wrapText="1"/>
    </xf>
    <xf numFmtId="0" fontId="52" fillId="0" borderId="7" xfId="0" applyFont="1" applyBorder="1" applyProtection="1">
      <alignment horizontal="center" vertical="center" wrapText="1"/>
    </xf>
    <xf numFmtId="0" fontId="53" fillId="0" borderId="7" xfId="0" applyFont="1" applyBorder="1" applyProtection="1">
      <alignment horizontal="center" vertical="center" wrapText="1"/>
    </xf>
    <xf numFmtId="0" fontId="54" fillId="0" borderId="7"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2" Type="http://schemas.openxmlformats.org/officeDocument/2006/relationships/worksheet" Target="worksheets/sheet2.xml"/><Relationship Id="rId3"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dministrator\Downloads\P505-M110L%20Pro%20P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签名页"/>
      <sheetName val="盘爪功率计"/>
      <sheetName val="列表值"/>
    </sheetNames>
    <sheetDataSet>
      <sheetData sheetId="0"/>
      <sheetData sheetId="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16.5" customHeight="1"/>
  <cols>
    <col min="1" max="1" width="18.6240234375" customWidth="1"/>
    <col min="3" max="3" width="102.5537109375" customWidth="1"/>
    <col min="4" max="4" width="28.7607421875" customWidth="1"/>
  </cols>
  <sheetData>
    <row r="1" s="17" customFormat="1" ht="40" customHeight="1">
      <c r="A1" s="53" t="s">
        <v>0</v>
      </c>
      <c r="B1" s="53"/>
      <c r="C1" s="53"/>
    </row>
    <row r="2" ht="17.4" customHeight="1">
      <c r="A2" s="45" t="s">
        <v>1</v>
      </c>
      <c r="B2" s="45"/>
      <c r="C2" s="45"/>
    </row>
    <row r="3" s="56" customFormat="1" ht="17.4" customHeight="1">
      <c r="A3" s="50" t="s">
        <v>2</v>
      </c>
      <c r="B3" s="50"/>
      <c r="C3" s="106" t="s">
        <v>3</v>
      </c>
    </row>
    <row r="4" s="56" customFormat="1" ht="16.5" customHeight="1">
      <c r="A4" s="50" t="s">
        <v>4</v>
      </c>
      <c r="B4" s="50"/>
      <c r="C4" s="106" t="s">
        <v>5</v>
      </c>
    </row>
    <row r="5" s="56" customFormat="1" ht="17.4" customHeight="1">
      <c r="A5" s="50" t="s">
        <v>6</v>
      </c>
      <c r="B5" s="50"/>
      <c r="C5" s="106" t="s">
        <v>7</v>
      </c>
    </row>
    <row r="6" s="56" customFormat="1" ht="18" customHeight="1">
      <c r="A6" s="50" t="s">
        <v>8</v>
      </c>
      <c r="B6" s="50"/>
      <c r="C6" s="8" t="s">
        <v>9</v>
      </c>
    </row>
    <row r="7" s="56" customFormat="1" ht="16.5" customHeight="1">
      <c r="A7" s="38" t="s">
        <v>10</v>
      </c>
      <c r="B7" s="38"/>
      <c r="C7" s="106" t="s">
        <v>11</v>
      </c>
    </row>
    <row r="8" s="56" customFormat="1" ht="16.5" customHeight="1">
      <c r="A8" s="33" t="s">
        <v>12</v>
      </c>
      <c r="B8" s="34"/>
      <c r="C8" s="106" t="s">
        <v>13</v>
      </c>
    </row>
    <row r="9" s="56" customFormat="1" ht="33" customHeight="1">
      <c r="A9" s="38" t="s">
        <v>14</v>
      </c>
      <c r="B9" s="38"/>
      <c r="C9" s="138" t="s">
        <v>15</v>
      </c>
    </row>
    <row r="10" s="56" customFormat="1" ht="33" customHeight="1">
      <c r="A10" s="38" t="s">
        <v>16</v>
      </c>
      <c r="B10" s="38"/>
      <c r="C10" s="139" t="s">
        <v>17</v>
      </c>
    </row>
    <row r="11" s="56" customFormat="1" ht="16.5" customHeight="1">
      <c r="A11" s="50" t="s">
        <v>18</v>
      </c>
      <c r="B11" s="50"/>
      <c r="C11" s="6" t="s">
        <v>19</v>
      </c>
    </row>
    <row r="12" s="56" customFormat="1" ht="16.5" customHeight="1">
      <c r="A12" s="50" t="s">
        <v>20</v>
      </c>
      <c r="B12" s="50"/>
      <c r="C12" s="6" t="s">
        <v>21</v>
      </c>
    </row>
    <row r="13" s="56" customFormat="1" ht="16.5" customHeight="1">
      <c r="A13" s="38" t="s">
        <v>22</v>
      </c>
      <c r="B13" s="38"/>
      <c r="C13" s="8" t="s">
        <v>23</v>
      </c>
    </row>
    <row r="14" s="56" customFormat="1" ht="16.5" customHeight="1">
      <c r="A14" s="38" t="s">
        <v>24</v>
      </c>
      <c r="B14" s="38"/>
      <c r="C14" s="8" t="s">
        <v>25</v>
      </c>
    </row>
    <row r="15" s="56" customFormat="1" ht="16.5" customHeight="1">
      <c r="A15" s="38" t="s">
        <v>26</v>
      </c>
      <c r="B15" s="38"/>
      <c r="C15" s="8" t="s">
        <v>27</v>
      </c>
    </row>
    <row r="16" s="56" customFormat="1" ht="83.46428571428574" customHeight="1">
      <c r="A16" s="38" t="s">
        <v>28</v>
      </c>
      <c r="B16" s="38"/>
      <c r="C16" s="107" t="s">
        <v>29</v>
      </c>
    </row>
    <row r="17" s="56" customFormat="1" ht="33" customHeight="1" hidden="1">
      <c r="A17" s="38" t="s">
        <v>30</v>
      </c>
      <c r="B17" s="38"/>
      <c r="C17" s="107"/>
    </row>
    <row r="18" s="56" customFormat="1" ht="18" customHeight="1">
      <c r="A18" s="38" t="s">
        <v>31</v>
      </c>
      <c r="B18" s="38"/>
      <c r="C18" s="128" t="s">
        <v>32</v>
      </c>
    </row>
    <row r="19" s="5" customFormat="1" ht="18" customHeight="1">
      <c r="A19" s="38" t="s">
        <v>33</v>
      </c>
      <c r="B19" s="38"/>
      <c r="C19" s="7" t="s">
        <v>34</v>
      </c>
    </row>
    <row r="20" s="56" customFormat="1" ht="16.25" customHeight="1">
      <c r="A20" s="50" t="s">
        <v>35</v>
      </c>
      <c r="B20" s="9" t="s">
        <v>36</v>
      </c>
      <c r="C20" s="6" t="s">
        <v>37</v>
      </c>
    </row>
    <row r="21" s="56" customFormat="1" ht="16.25" customHeight="1">
      <c r="A21" s="50"/>
      <c r="B21" s="9" t="s">
        <v>38</v>
      </c>
      <c r="C21" s="6" t="s">
        <v>39</v>
      </c>
    </row>
    <row r="22" s="56" customFormat="1" ht="16.25" customHeight="1">
      <c r="A22" s="50"/>
      <c r="B22" s="9" t="s">
        <v>40</v>
      </c>
      <c r="C22" s="6" t="s">
        <v>39</v>
      </c>
    </row>
    <row r="23" s="56" customFormat="1" ht="16.25" customHeight="1">
      <c r="A23" s="50"/>
      <c r="B23" s="9" t="s">
        <v>41</v>
      </c>
      <c r="C23" s="6" t="s">
        <v>39</v>
      </c>
    </row>
    <row r="24" s="56" customFormat="1" ht="33" customHeight="1">
      <c r="A24" s="50" t="s">
        <v>42</v>
      </c>
      <c r="B24" s="50"/>
      <c r="C24" s="106" t="s">
        <v>43</v>
      </c>
    </row>
    <row r="25" s="56" customFormat="1" ht="35.4" customHeight="1">
      <c r="A25" s="50" t="s">
        <v>44</v>
      </c>
      <c r="B25" s="50"/>
      <c r="C25" s="140" t="s">
        <v>45</v>
      </c>
    </row>
    <row r="26" s="56" customFormat="1" ht="66" customHeight="1">
      <c r="A26" s="51" t="s">
        <v>46</v>
      </c>
      <c r="B26" s="51"/>
      <c r="C26" s="104" t="s">
        <v>47</v>
      </c>
    </row>
    <row r="27" s="56" customFormat="1" ht="49.5" customHeight="1">
      <c r="A27" s="52" t="s">
        <v>48</v>
      </c>
      <c r="B27" s="52"/>
      <c r="C27" s="141" t="s">
        <v>49</v>
      </c>
    </row>
    <row r="28" s="5" customFormat="1" ht="33" customHeight="1">
      <c r="A28" s="38" t="s">
        <v>50</v>
      </c>
      <c r="B28" s="38"/>
      <c r="C28" s="142" t="s">
        <v>51</v>
      </c>
    </row>
    <row r="29" s="5" customFormat="1" ht="16.5" customHeight="1">
      <c r="A29" s="38" t="s">
        <v>52</v>
      </c>
      <c r="B29" s="38"/>
      <c r="C29" s="105" t="s">
        <v>53</v>
      </c>
    </row>
    <row r="30" s="5" customFormat="1" ht="16.5" customHeight="1">
      <c r="A30" s="33" t="s">
        <v>54</v>
      </c>
      <c r="B30" s="34"/>
      <c r="C30" s="105" t="s">
        <v>55</v>
      </c>
    </row>
    <row r="31" s="5" customFormat="1" ht="33" customHeight="1">
      <c r="A31" s="38" t="s">
        <v>56</v>
      </c>
      <c r="B31" s="38"/>
      <c r="C31" s="143" t="s">
        <v>57</v>
      </c>
    </row>
    <row r="32" s="5" customFormat="1" ht="16.5" customHeight="1">
      <c r="A32" s="50" t="s">
        <v>58</v>
      </c>
      <c r="B32" s="50"/>
      <c r="C32" s="18" t="s">
        <v>59</v>
      </c>
    </row>
    <row r="33" s="5" customFormat="1" ht="16.5" customHeight="1">
      <c r="A33" s="50" t="s">
        <v>60</v>
      </c>
      <c r="B33" s="50"/>
      <c r="C33" s="18" t="s">
        <v>61</v>
      </c>
    </row>
    <row r="34" s="56" customFormat="1" ht="33" customHeight="1">
      <c r="A34" s="50" t="s">
        <v>62</v>
      </c>
      <c r="B34" s="50"/>
      <c r="C34" s="144" t="s">
        <v>63</v>
      </c>
    </row>
    <row r="35" s="5" customFormat="1" ht="18" customHeight="1">
      <c r="A35" s="50" t="s">
        <v>64</v>
      </c>
      <c r="B35" s="50"/>
      <c r="C35" s="19" t="s">
        <v>65</v>
      </c>
    </row>
    <row r="36" s="56" customFormat="1" ht="16.5" customHeight="1">
      <c r="A36" s="45" t="s">
        <v>66</v>
      </c>
      <c r="B36" s="45"/>
      <c r="C36" s="45"/>
    </row>
    <row r="37" s="56" customFormat="1" ht="16.5" customHeight="1">
      <c r="A37" s="33" t="s">
        <v>67</v>
      </c>
      <c r="B37" s="34"/>
      <c r="C37" s="107" t="s">
        <v>68</v>
      </c>
    </row>
    <row r="38" s="56" customFormat="1" ht="33" customHeight="1">
      <c r="A38" s="33" t="s">
        <v>69</v>
      </c>
      <c r="B38" s="34"/>
      <c r="C38" s="145" t="s">
        <v>70</v>
      </c>
    </row>
    <row r="39" s="56" customFormat="1" ht="16.5" customHeight="1">
      <c r="A39" s="42" t="s">
        <v>71</v>
      </c>
      <c r="B39" s="43"/>
      <c r="C39" s="10" t="s">
        <v>72</v>
      </c>
    </row>
    <row r="40" s="56" customFormat="1" ht="16.5" customHeight="1">
      <c r="A40" s="42" t="s">
        <v>73</v>
      </c>
      <c r="B40" s="43"/>
      <c r="C40" s="10" t="s">
        <v>74</v>
      </c>
    </row>
    <row r="41" s="56" customFormat="1" ht="16.5" customHeight="1">
      <c r="A41" s="42" t="s">
        <v>75</v>
      </c>
      <c r="B41" s="43"/>
      <c r="C41" s="10" t="s">
        <v>76</v>
      </c>
    </row>
    <row r="42" ht="16.5" customHeight="1">
      <c r="A42" s="38" t="s">
        <v>77</v>
      </c>
      <c r="B42" s="38"/>
      <c r="C42" s="106" t="s">
        <v>78</v>
      </c>
    </row>
    <row r="43" ht="33" customHeight="1">
      <c r="A43" s="33" t="s">
        <v>79</v>
      </c>
      <c r="B43" s="34"/>
      <c r="C43" s="146" t="s">
        <v>80</v>
      </c>
    </row>
    <row r="44" ht="35.25" customHeight="1">
      <c r="A44" s="33" t="s">
        <v>81</v>
      </c>
      <c r="B44" s="34"/>
      <c r="C44" s="106" t="s">
        <v>82</v>
      </c>
    </row>
    <row r="45" ht="35.25" customHeight="1">
      <c r="A45" s="33" t="s">
        <v>83</v>
      </c>
      <c r="B45" s="126"/>
      <c r="C45" s="106" t="s">
        <v>84</v>
      </c>
    </row>
    <row r="46" ht="16.5" customHeight="1">
      <c r="A46" s="42" t="s">
        <v>85</v>
      </c>
      <c r="B46" s="43"/>
      <c r="C46" s="20" t="s">
        <v>86</v>
      </c>
    </row>
    <row r="47" ht="16.5" customHeight="1">
      <c r="A47" s="33" t="s">
        <v>87</v>
      </c>
      <c r="B47" s="34"/>
      <c r="C47" s="106" t="s">
        <v>88</v>
      </c>
    </row>
    <row r="48" ht="17" customHeight="1">
      <c r="A48" s="33" t="s">
        <v>89</v>
      </c>
      <c r="B48" s="34"/>
      <c r="C48" s="105" t="s">
        <v>90</v>
      </c>
    </row>
    <row r="49" ht="16.5" customHeight="1">
      <c r="A49" s="49"/>
      <c r="B49" s="49"/>
      <c r="C49" s="21" t="s">
        <v>91</v>
      </c>
    </row>
    <row r="50" ht="16.5" customHeight="1">
      <c r="A50" s="46" t="s">
        <v>92</v>
      </c>
      <c r="B50" s="38"/>
      <c r="C50" s="105" t="s">
        <v>93</v>
      </c>
    </row>
    <row r="51" ht="18" customHeight="1">
      <c r="A51" s="38" t="s">
        <v>94</v>
      </c>
      <c r="B51" s="38"/>
      <c r="C51" s="54" t="s">
        <v>95</v>
      </c>
    </row>
    <row r="52" ht="16.5" customHeight="1">
      <c r="A52" s="46" t="s">
        <v>96</v>
      </c>
      <c r="B52" s="38"/>
      <c r="C52" s="106" t="s">
        <v>97</v>
      </c>
    </row>
    <row r="53" ht="72.99999999999999" customHeight="1">
      <c r="A53" s="47"/>
      <c r="B53" s="48"/>
      <c r="C53" s="147" t="s">
        <v>98</v>
      </c>
    </row>
    <row r="54" ht="16.5" customHeight="1">
      <c r="A54" s="38" t="s">
        <v>99</v>
      </c>
      <c r="B54" s="38"/>
      <c r="C54" s="106" t="s">
        <v>100</v>
      </c>
    </row>
    <row r="55" ht="16.5" customHeight="1">
      <c r="A55" s="33" t="s">
        <v>101</v>
      </c>
      <c r="B55" s="34"/>
      <c r="C55" s="106" t="s">
        <v>102</v>
      </c>
    </row>
    <row r="56" s="5" customFormat="1" ht="16.5" customHeight="1">
      <c r="A56" s="44" t="s">
        <v>103</v>
      </c>
      <c r="B56" s="44"/>
      <c r="C56" s="11" t="s">
        <v>104</v>
      </c>
    </row>
    <row r="57" ht="16.5" customHeight="1">
      <c r="A57" s="38" t="s">
        <v>105</v>
      </c>
      <c r="B57" s="12" t="s">
        <v>106</v>
      </c>
      <c r="C57" s="106" t="s">
        <v>107</v>
      </c>
    </row>
    <row r="58" ht="16.5" customHeight="1">
      <c r="A58" s="38"/>
      <c r="B58" s="12" t="s">
        <v>106</v>
      </c>
      <c r="C58" s="106" t="s">
        <v>108</v>
      </c>
    </row>
    <row r="59" ht="14.5" customHeight="1">
      <c r="A59" s="33" t="s">
        <v>109</v>
      </c>
      <c r="B59" s="34"/>
      <c r="C59" s="106" t="s">
        <v>110</v>
      </c>
    </row>
    <row r="60" ht="16.5" customHeight="1">
      <c r="A60" s="33" t="s">
        <v>111</v>
      </c>
      <c r="B60" s="34"/>
      <c r="C60" s="106" t="s">
        <v>112</v>
      </c>
    </row>
    <row r="61" ht="16.5" customHeight="1">
      <c r="A61" s="45" t="s">
        <v>113</v>
      </c>
      <c r="B61" s="45"/>
      <c r="C61" s="45"/>
    </row>
    <row r="62" s="5" customFormat="1" ht="16.5" customHeight="1">
      <c r="A62" s="38" t="s">
        <v>114</v>
      </c>
      <c r="B62" s="12" t="s">
        <v>115</v>
      </c>
      <c r="C62" s="22" t="s">
        <v>116</v>
      </c>
    </row>
    <row r="63" s="5" customFormat="1" ht="17" customHeight="1">
      <c r="A63" s="38" t="s">
        <v>117</v>
      </c>
      <c r="B63" s="12" t="s">
        <v>118</v>
      </c>
      <c r="C63" s="22" t="s">
        <v>119</v>
      </c>
    </row>
    <row r="64" s="5" customFormat="1" ht="17" customHeight="1">
      <c r="A64" s="38" t="s">
        <v>120</v>
      </c>
      <c r="B64" s="12" t="s">
        <v>121</v>
      </c>
      <c r="C64" s="22" t="s">
        <v>122</v>
      </c>
    </row>
    <row r="65" s="5" customFormat="1" ht="17" customHeight="1">
      <c r="A65" s="38" t="s">
        <v>123</v>
      </c>
      <c r="B65" s="12" t="s">
        <v>124</v>
      </c>
      <c r="C65" s="22" t="s">
        <v>125</v>
      </c>
    </row>
    <row r="66" s="5" customFormat="1" ht="16.5" customHeight="1">
      <c r="A66" s="38" t="s">
        <v>126</v>
      </c>
      <c r="B66" s="12" t="s">
        <v>127</v>
      </c>
      <c r="C66" s="22" t="s">
        <v>128</v>
      </c>
    </row>
    <row r="67" ht="16.5" customHeight="1">
      <c r="A67" s="38" t="s">
        <v>129</v>
      </c>
      <c r="B67" s="12" t="s">
        <v>130</v>
      </c>
      <c r="C67" s="22" t="s">
        <v>131</v>
      </c>
    </row>
    <row r="68" ht="16.5" customHeight="1">
      <c r="A68" s="38" t="s">
        <v>132</v>
      </c>
      <c r="B68" s="12" t="s">
        <v>133</v>
      </c>
      <c r="C68" s="129" t="s">
        <v>134</v>
      </c>
    </row>
    <row r="69" ht="16.5" customHeight="1">
      <c r="A69" s="38" t="s">
        <v>135</v>
      </c>
      <c r="B69" s="12" t="s">
        <v>136</v>
      </c>
      <c r="C69" s="129" t="s">
        <v>137</v>
      </c>
    </row>
    <row r="70" ht="16.5" customHeight="1">
      <c r="A70" s="38" t="s">
        <v>138</v>
      </c>
      <c r="B70" s="12" t="s">
        <v>139</v>
      </c>
      <c r="C70" s="129" t="s">
        <v>140</v>
      </c>
    </row>
    <row r="71" ht="66" customHeight="1">
      <c r="A71" s="33" t="s">
        <v>141</v>
      </c>
      <c r="B71" s="34"/>
      <c r="C71" s="148" t="s">
        <v>142</v>
      </c>
    </row>
    <row r="72" ht="33" customHeight="1">
      <c r="A72" s="33" t="s">
        <v>143</v>
      </c>
      <c r="B72" s="34"/>
      <c r="C72" s="149" t="s">
        <v>144</v>
      </c>
    </row>
    <row r="73" ht="16.5" customHeight="1">
      <c r="A73" s="42" t="s">
        <v>145</v>
      </c>
      <c r="B73" s="43"/>
      <c r="C73" s="10" t="s">
        <v>146</v>
      </c>
    </row>
    <row r="74" ht="181.5" customHeight="1">
      <c r="A74" s="33" t="s">
        <v>147</v>
      </c>
      <c r="B74" s="34"/>
      <c r="C74" s="150" t="s">
        <v>148</v>
      </c>
    </row>
    <row r="75" ht="33" customHeight="1">
      <c r="A75" s="33" t="s">
        <v>149</v>
      </c>
      <c r="B75" s="34"/>
      <c r="C75" s="107" t="s">
        <v>150</v>
      </c>
    </row>
    <row r="76" ht="33" customHeight="1">
      <c r="A76" s="33" t="s">
        <v>151</v>
      </c>
      <c r="B76" s="34"/>
      <c r="C76" s="107" t="s">
        <v>152</v>
      </c>
    </row>
    <row r="77" s="56" customFormat="1" ht="16.5" customHeight="1">
      <c r="A77" s="30" t="s">
        <v>153</v>
      </c>
      <c r="B77" s="30"/>
      <c r="C77" s="30"/>
    </row>
    <row r="78" s="56" customFormat="1" ht="18" customHeight="1">
      <c r="A78" s="31" t="s">
        <v>154</v>
      </c>
      <c r="B78" s="41"/>
      <c r="C78" s="28" t="s">
        <v>155</v>
      </c>
    </row>
    <row r="79" s="56" customFormat="1" ht="18" customHeight="1">
      <c r="A79" s="38" t="s">
        <v>156</v>
      </c>
      <c r="B79" s="38"/>
      <c r="C79" s="12" t="s">
        <v>157</v>
      </c>
    </row>
    <row r="80" s="56" customFormat="1" ht="16.5" customHeight="1">
      <c r="A80" s="38" t="s">
        <v>158</v>
      </c>
      <c r="B80" s="38"/>
      <c r="C80" s="23" t="s">
        <v>159</v>
      </c>
    </row>
    <row r="81" s="56" customFormat="1" ht="16.5" customHeight="1">
      <c r="A81" s="38" t="s">
        <v>160</v>
      </c>
      <c r="B81" s="38"/>
      <c r="C81" s="23"/>
    </row>
    <row r="82" s="56" customFormat="1" ht="18" customHeight="1">
      <c r="A82" s="50" t="s">
        <v>161</v>
      </c>
      <c r="B82" s="50"/>
      <c r="C82" s="127" t="s">
        <v>162</v>
      </c>
    </row>
    <row r="83" s="56" customFormat="1" ht="18" customHeight="1">
      <c r="A83" s="40" t="s">
        <v>163</v>
      </c>
      <c r="B83" s="40" t="s">
        <v>164</v>
      </c>
      <c r="C83" s="134" t="n">
        <v>560.51</v>
      </c>
    </row>
    <row r="84" s="56" customFormat="1" ht="17" customHeight="1">
      <c r="A84" s="40" t="s">
        <v>165</v>
      </c>
      <c r="B84" s="40" t="s">
        <v>166</v>
      </c>
      <c r="C84" s="134" t="n">
        <v>0</v>
      </c>
    </row>
    <row r="85" s="56" customFormat="1" ht="18" customHeight="1">
      <c r="A85" s="40" t="s">
        <v>167</v>
      </c>
      <c r="B85" s="40" t="s">
        <v>168</v>
      </c>
      <c r="C85" s="134" t="n">
        <v>71.54</v>
      </c>
    </row>
    <row r="86" s="56" customFormat="1" ht="17" customHeight="1">
      <c r="A86" s="40" t="s">
        <v>169</v>
      </c>
      <c r="B86" s="40" t="s">
        <v>170</v>
      </c>
      <c r="C86" s="134" t="n">
        <v>0.6</v>
      </c>
    </row>
    <row r="87" s="56" customFormat="1" ht="17" customHeight="1">
      <c r="A87" s="40" t="s">
        <v>171</v>
      </c>
      <c r="B87" s="40" t="s">
        <v>172</v>
      </c>
      <c r="C87" s="134"/>
    </row>
    <row r="88" s="56" customFormat="1" ht="18" customHeight="1">
      <c r="A88" s="40"/>
      <c r="B88" s="40" t="s">
        <v>173</v>
      </c>
      <c r="C88" s="134" t="n">
        <v>3.16</v>
      </c>
    </row>
    <row r="89" s="56" customFormat="1" ht="17" customHeight="1">
      <c r="A89" s="40"/>
      <c r="B89" s="40" t="s">
        <v>174</v>
      </c>
      <c r="C89" s="134" t="n">
        <v>47.066</v>
      </c>
    </row>
    <row r="90" ht="16.5" customHeight="1">
      <c r="A90" s="132" t="s">
        <v>175</v>
      </c>
      <c r="B90" s="132" t="s">
        <v>176</v>
      </c>
      <c r="C90" s="137" t="n">
        <f>C83+C84+C85+C86+C87+C88+C89</f>
        <v>550</v>
      </c>
    </row>
    <row r="91" ht="16.5" customHeight="1">
      <c r="A91" s="50" t="s">
        <v>177</v>
      </c>
      <c r="B91" s="50"/>
      <c r="C91" s="136" t="n">
        <v>3</v>
      </c>
    </row>
    <row r="92" s="5" customFormat="1" ht="16.5" customHeight="1">
      <c r="A92" s="133" t="s">
        <v>178</v>
      </c>
      <c r="B92" s="135"/>
      <c r="C92" s="23" t="n">
        <v>2</v>
      </c>
    </row>
    <row r="93" s="56" customFormat="1" ht="17" customHeight="1">
      <c r="A93" s="33" t="s">
        <v>179</v>
      </c>
      <c r="B93" s="39"/>
      <c r="C93" s="14" t="s">
        <v>180</v>
      </c>
    </row>
    <row r="94" s="56" customFormat="1" ht="16.5" customHeight="1">
      <c r="A94" s="27" t="s">
        <v>181</v>
      </c>
      <c r="B94" s="24" t="s">
        <v>182</v>
      </c>
      <c r="C94" s="25"/>
    </row>
    <row r="95" s="56" customFormat="1" ht="16.5" customHeight="1">
      <c r="A95" s="27"/>
      <c r="B95" s="24" t="s">
        <v>183</v>
      </c>
      <c r="C95" s="25"/>
    </row>
    <row r="96" s="56" customFormat="1" ht="16.5" customHeight="1">
      <c r="A96" s="27"/>
      <c r="B96" s="24" t="s">
        <v>184</v>
      </c>
      <c r="C96" s="25"/>
    </row>
    <row r="97" s="56" customFormat="1" ht="16.5" customHeight="1">
      <c r="A97" s="27"/>
      <c r="B97" s="24" t="s">
        <v>185</v>
      </c>
      <c r="C97" s="25"/>
    </row>
    <row r="98" s="56" customFormat="1" ht="16.5" customHeight="1">
      <c r="A98" s="30" t="s">
        <v>186</v>
      </c>
      <c r="B98" s="30"/>
      <c r="C98" s="30"/>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row>
    <row r="99" s="5" customFormat="1" ht="16.5" customHeight="1">
      <c r="A99" s="31" t="s">
        <v>187</v>
      </c>
      <c r="B99" s="32"/>
      <c r="C99" s="15" t="s">
        <v>188</v>
      </c>
    </row>
    <row r="100" s="5" customFormat="1" ht="33" customHeight="1">
      <c r="A100" s="33" t="s">
        <v>189</v>
      </c>
      <c r="B100" s="34"/>
      <c r="C100" s="106" t="s">
        <v>190</v>
      </c>
    </row>
    <row r="101" s="5" customFormat="1" ht="33" customHeight="1">
      <c r="A101" s="33" t="s">
        <v>191</v>
      </c>
      <c r="B101" s="34"/>
      <c r="C101" s="106" t="s">
        <v>192</v>
      </c>
    </row>
    <row r="102" ht="16.5" customHeight="1">
      <c r="A102" s="35" t="s">
        <v>193</v>
      </c>
      <c r="B102" s="35"/>
      <c r="C102" s="13" t="s">
        <v>194</v>
      </c>
    </row>
    <row r="103" s="5" customFormat="1" ht="16.5" customHeight="1">
      <c r="A103" s="30" t="s">
        <v>195</v>
      </c>
      <c r="B103" s="30"/>
      <c r="C103" s="30"/>
    </row>
    <row r="104" s="5" customFormat="1" ht="44.92105263157895" customHeight="1">
      <c r="A104" s="28" t="s">
        <v>196</v>
      </c>
      <c r="B104" s="28"/>
      <c r="C104" s="151" t="s">
        <v>197</v>
      </c>
    </row>
    <row r="105" ht="16.5" customHeight="1">
      <c r="A105" s="28" t="s">
        <v>198</v>
      </c>
      <c r="B105" s="28"/>
      <c r="C105" s="26" t="s">
        <v>199</v>
      </c>
    </row>
    <row r="106" s="56" customFormat="1" ht="16.5" customHeight="1">
      <c r="A106" s="30" t="s">
        <v>200</v>
      </c>
      <c r="B106" s="30"/>
      <c r="C106" s="30"/>
    </row>
    <row r="107" s="56" customFormat="1" ht="16.5" customHeight="1">
      <c r="A107" s="28" t="s">
        <v>201</v>
      </c>
      <c r="B107" s="28"/>
      <c r="C107" s="16" t="s">
        <v>202</v>
      </c>
    </row>
    <row r="108" s="56" customFormat="1" ht="16.5" customHeight="1">
      <c r="A108" s="28" t="s">
        <v>203</v>
      </c>
      <c r="B108" s="28"/>
      <c r="C108" s="16" t="s">
        <v>204</v>
      </c>
    </row>
    <row r="109" s="56" customFormat="1" ht="16.5" customHeight="1">
      <c r="A109" s="29" t="s">
        <v>205</v>
      </c>
      <c r="B109" s="29"/>
      <c r="C109" s="16" t="s">
        <v>204</v>
      </c>
    </row>
    <row r="110" s="5" customFormat="1" ht="16.5" customHeight="1">
      <c r="A110" s="30" t="s">
        <v>206</v>
      </c>
      <c r="B110" s="30"/>
      <c r="C110" s="30"/>
    </row>
    <row r="111" s="5" customFormat="1" ht="16.5" customHeight="1">
      <c r="A111" s="50" t="s">
        <v>207</v>
      </c>
      <c r="B111" s="50"/>
      <c r="C111" s="16" t="s">
        <v>204</v>
      </c>
    </row>
    <row r="112" ht="16.5" customHeight="1">
      <c r="A112" s="36" t="s">
        <v>208</v>
      </c>
      <c r="B112" s="37"/>
      <c r="C112" s="16" t="s">
        <v>204</v>
      </c>
    </row>
  </sheetData>
  <mergeCells count="89">
    <mergeCell ref="A39:B39"/>
    <mergeCell ref="A55:B55"/>
    <mergeCell ref="A11:B11"/>
    <mergeCell ref="A112:B112"/>
    <mergeCell ref="A43:B43"/>
    <mergeCell ref="A15:B15"/>
    <mergeCell ref="A49:B49"/>
    <mergeCell ref="A31:B31"/>
    <mergeCell ref="A1:C1"/>
    <mergeCell ref="A26:B26"/>
    <mergeCell ref="A102:B102"/>
    <mergeCell ref="A94:A97"/>
    <mergeCell ref="A12:B12"/>
    <mergeCell ref="A78:B78"/>
    <mergeCell ref="A16:B16"/>
    <mergeCell ref="A14:B14"/>
    <mergeCell ref="A107:B107"/>
    <mergeCell ref="A104:B104"/>
    <mergeCell ref="A41:B41"/>
    <mergeCell ref="A101:B101"/>
    <mergeCell ref="A59:B59"/>
    <mergeCell ref="A52:B52"/>
    <mergeCell ref="A60:B60"/>
    <mergeCell ref="A56:B56"/>
    <mergeCell ref="A35:B35"/>
    <mergeCell ref="A71:B71"/>
    <mergeCell ref="A38:B38"/>
    <mergeCell ref="A50:B50"/>
    <mergeCell ref="A36:C36"/>
    <mergeCell ref="A99:B99"/>
    <mergeCell ref="A61:C61"/>
    <mergeCell ref="A13:B13"/>
    <mergeCell ref="A48:B48"/>
    <mergeCell ref="A87:A89"/>
    <mergeCell ref="A40:B40"/>
    <mergeCell ref="A44:B44"/>
    <mergeCell ref="A42:B42"/>
    <mergeCell ref="A108:B108"/>
    <mergeCell ref="A6:B6"/>
    <mergeCell ref="A9:B9"/>
    <mergeCell ref="A74:B74"/>
    <mergeCell ref="A106:C106"/>
    <mergeCell ref="A29:B29"/>
    <mergeCell ref="A17:B17"/>
    <mergeCell ref="A91:B91"/>
    <mergeCell ref="A27:B27"/>
    <mergeCell ref="A20:A23"/>
    <mergeCell ref="A93:B93"/>
    <mergeCell ref="A51:B51"/>
    <mergeCell ref="A8:B8"/>
    <mergeCell ref="A92:B92"/>
    <mergeCell ref="A34:B34"/>
    <mergeCell ref="A3:B3"/>
    <mergeCell ref="A32:B32"/>
    <mergeCell ref="A2:C2"/>
    <mergeCell ref="A76:B76"/>
    <mergeCell ref="A57:A58"/>
    <mergeCell ref="A105:B105"/>
    <mergeCell ref="A73:B73"/>
    <mergeCell ref="A111:B111"/>
    <mergeCell ref="A7:B7"/>
    <mergeCell ref="A53:B53"/>
    <mergeCell ref="A77:C77"/>
    <mergeCell ref="A81:B81"/>
    <mergeCell ref="A47:B47"/>
    <mergeCell ref="A46:B46"/>
    <mergeCell ref="A109:B109"/>
    <mergeCell ref="A103:C103"/>
    <mergeCell ref="A5:B5"/>
    <mergeCell ref="A33:B33"/>
    <mergeCell ref="A37:B37"/>
    <mergeCell ref="A82:B82"/>
    <mergeCell ref="A75:B75"/>
    <mergeCell ref="A80:B80"/>
    <mergeCell ref="A19:B19"/>
    <mergeCell ref="A110:C110"/>
    <mergeCell ref="A18:B18"/>
    <mergeCell ref="A4:B4"/>
    <mergeCell ref="A100:B100"/>
    <mergeCell ref="A54:B54"/>
    <mergeCell ref="A28:B28"/>
    <mergeCell ref="A30:B30"/>
    <mergeCell ref="A10:B10"/>
    <mergeCell ref="A98:C98"/>
    <mergeCell ref="A25:B25"/>
    <mergeCell ref="A72:B72"/>
    <mergeCell ref="A24:B24"/>
    <mergeCell ref="A79:B79"/>
    <mergeCell ref="A45:B45"/>
  </mergeCells>
  <phoneticPr fontId="1" type="noConversion"/>
  <dataValidations count="1">
    <dataValidation type="list" allowBlank="1" showInputMessage="1" showErrorMessage="1" sqref="C3:C5">
      <formula1>'D:\Users\Administrator\Downloads\[P505-M110L Pro PRD.xlsx]列表值'!#REF!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11.666015625" customWidth="1" style="125"/>
    <col min="5" max="5" width="11.33203125" customWidth="1" style="125"/>
    <col min="8" max="8" width="21.498046875" customWidth="1" style="125"/>
    <col min="9" max="9" width="11.8330078125" customWidth="1" style="125"/>
  </cols>
  <sheetData>
    <row r="3" ht="45.75" customHeight="1">
      <c r="A3" s="64" t="s">
        <v>22</v>
      </c>
      <c r="B3" s="57" t="s">
        <v>209</v>
      </c>
      <c r="C3" s="57" t="s">
        <v>210</v>
      </c>
      <c r="D3" s="152" t="s">
        <v>211</v>
      </c>
      <c r="E3" s="153" t="s">
        <v>212</v>
      </c>
      <c r="F3" s="57" t="s">
        <v>213</v>
      </c>
      <c r="G3" s="154" t="s">
        <v>214</v>
      </c>
      <c r="H3" s="155" t="s">
        <v>215</v>
      </c>
      <c r="I3" s="57" t="s">
        <v>213</v>
      </c>
      <c r="J3" s="57" t="s">
        <v>216</v>
      </c>
      <c r="K3" s="65"/>
      <c r="L3" s="66"/>
      <c r="M3" s="66"/>
      <c r="N3" s="66"/>
      <c r="O3" s="66"/>
      <c r="P3" s="67"/>
      <c r="Q3" s="67"/>
      <c r="R3" s="67"/>
      <c r="S3" s="67"/>
    </row>
    <row r="4" ht="16.5" customHeight="1">
      <c r="A4" s="59" t="s">
        <v>23</v>
      </c>
      <c r="B4" s="60" t="s">
        <v>9</v>
      </c>
      <c r="C4" s="60" t="n">
        <f>D4*1.13</f>
        <v>678</v>
      </c>
      <c r="D4" s="69" t="n">
        <v>560</v>
      </c>
      <c r="E4" s="70" t="n">
        <v>2020</v>
      </c>
      <c r="F4" s="71" t="n">
        <f>(E4/1.13-D4)/(E4/1.13)</f>
        <v>0.664356435643565</v>
      </c>
      <c r="G4" s="72" t="n">
        <f>D4/7.3</f>
        <v>82.1917808219178</v>
      </c>
      <c r="H4" s="60" t="n">
        <v>180</v>
      </c>
      <c r="I4" s="71" t="n">
        <f>(H4-G4)/H4</f>
        <v>0.555720103665308</v>
      </c>
      <c r="J4" s="60"/>
      <c r="K4" s="65"/>
      <c r="L4" s="66"/>
      <c r="M4" s="66"/>
      <c r="N4" s="66"/>
      <c r="O4" s="66"/>
      <c r="P4" s="67"/>
      <c r="Q4" s="67"/>
      <c r="R4" s="67"/>
      <c r="S4" s="67"/>
    </row>
    <row r="5" ht="16.5" customHeight="1">
      <c r="A5" s="65"/>
      <c r="B5" s="65"/>
      <c r="C5" s="65"/>
      <c r="D5" s="65"/>
      <c r="E5" s="74"/>
      <c r="F5" s="75"/>
      <c r="G5" s="65"/>
      <c r="H5" s="74"/>
      <c r="I5" s="65"/>
      <c r="J5" s="73"/>
      <c r="K5" s="67"/>
      <c r="L5" s="67"/>
      <c r="M5" s="102"/>
      <c r="N5" s="66"/>
      <c r="O5" s="67"/>
      <c r="P5" s="67"/>
      <c r="Q5" s="67"/>
      <c r="R5" s="67"/>
      <c r="S5" s="67"/>
    </row>
    <row r="6" ht="16.5" customHeight="1">
      <c r="A6" s="65"/>
      <c r="B6" s="65"/>
      <c r="C6" s="65"/>
      <c r="D6" s="65"/>
      <c r="E6" s="76"/>
      <c r="F6" s="65"/>
      <c r="G6" s="77"/>
      <c r="H6" s="78"/>
      <c r="I6" s="66"/>
      <c r="J6" s="66"/>
      <c r="K6" s="67"/>
      <c r="L6" s="67"/>
      <c r="M6" s="67"/>
      <c r="N6" s="66"/>
      <c r="O6" s="67"/>
      <c r="P6" s="67"/>
      <c r="Q6" s="67"/>
      <c r="R6" s="67"/>
      <c r="S6" s="67"/>
    </row>
    <row r="7" ht="30.75" customHeight="1">
      <c r="A7" s="64" t="s">
        <v>217</v>
      </c>
      <c r="B7" s="130"/>
      <c r="C7" s="156" t="s">
        <v>218</v>
      </c>
      <c r="D7" s="157" t="s">
        <v>219</v>
      </c>
      <c r="E7" s="57" t="s">
        <v>220</v>
      </c>
      <c r="F7" s="158" t="s">
        <v>221</v>
      </c>
      <c r="G7" s="57" t="s">
        <v>222</v>
      </c>
      <c r="H7" s="58" t="s">
        <v>223</v>
      </c>
      <c r="I7" s="65"/>
      <c r="J7" s="79"/>
      <c r="K7" s="66"/>
      <c r="L7" s="67"/>
      <c r="M7" s="67"/>
      <c r="N7" s="67"/>
      <c r="O7" s="67"/>
      <c r="P7" s="67"/>
      <c r="Q7" s="67"/>
      <c r="R7" s="68"/>
      <c r="S7" s="68"/>
    </row>
    <row r="8" ht="16.5" customHeight="1">
      <c r="A8" s="59" t="s">
        <v>23</v>
      </c>
      <c r="B8" s="60" t="s">
        <v>9</v>
      </c>
      <c r="C8" s="60" t="n">
        <v>3199</v>
      </c>
      <c r="D8" s="103" t="n">
        <f>E4</f>
        <v>2020</v>
      </c>
      <c r="E8" s="62" t="n">
        <f>(F8-D8)/F8</f>
        <v>0.102222222222222</v>
      </c>
      <c r="F8" s="61" t="n">
        <v>2250</v>
      </c>
      <c r="G8" s="62" t="n">
        <f>(C8-F8)/C8</f>
        <v>0.296655204751485</v>
      </c>
      <c r="H8" s="63" t="n">
        <f>(F8/1.13-D4)/(F8/1.13)</f>
        <v>0.698666666666667</v>
      </c>
      <c r="I8" s="67"/>
      <c r="J8" s="67"/>
      <c r="K8" s="67"/>
      <c r="L8" s="67"/>
      <c r="M8" s="67"/>
      <c r="N8" s="67"/>
      <c r="O8" s="67"/>
      <c r="P8" s="67"/>
      <c r="Q8" s="67"/>
      <c r="R8" s="68"/>
      <c r="S8" s="68"/>
    </row>
    <row r="9" ht="16.5" customHeight="1">
      <c r="A9" s="65"/>
      <c r="B9" s="65"/>
      <c r="C9" s="65"/>
      <c r="D9" s="65"/>
      <c r="E9" s="65"/>
      <c r="F9" s="65"/>
      <c r="G9" s="74"/>
      <c r="H9" s="65"/>
      <c r="I9" s="74"/>
      <c r="J9" s="65"/>
      <c r="K9" s="67"/>
      <c r="L9" s="67"/>
      <c r="M9" s="79"/>
      <c r="N9" s="65"/>
      <c r="O9" s="67"/>
      <c r="P9" s="67"/>
      <c r="Q9" s="67"/>
      <c r="R9" s="67"/>
      <c r="S9" s="67"/>
    </row>
    <row r="10" ht="16.5" customHeight="1">
      <c r="A10" s="65"/>
      <c r="B10" s="65"/>
      <c r="C10" s="65"/>
      <c r="D10" s="65"/>
      <c r="E10" s="65"/>
      <c r="F10" s="65"/>
      <c r="G10" s="74"/>
      <c r="H10" s="65"/>
      <c r="I10" s="74"/>
      <c r="J10" s="65"/>
      <c r="K10" s="79"/>
      <c r="L10" s="65"/>
      <c r="M10" s="67"/>
      <c r="N10" s="67"/>
      <c r="O10" s="67"/>
      <c r="P10" s="67"/>
      <c r="Q10" s="67"/>
      <c r="R10" s="67"/>
      <c r="S10" s="67"/>
    </row>
    <row r="11" ht="16.5" customHeight="1">
      <c r="A11" s="65"/>
      <c r="B11" s="65"/>
      <c r="C11" s="65"/>
      <c r="D11" s="65"/>
      <c r="E11" s="65"/>
      <c r="F11" s="65"/>
      <c r="G11" s="74"/>
      <c r="H11" s="65"/>
      <c r="I11" s="74"/>
      <c r="J11" s="65"/>
      <c r="K11" s="67"/>
      <c r="L11" s="67"/>
      <c r="M11" s="79"/>
      <c r="N11" s="65"/>
      <c r="O11" s="67"/>
      <c r="P11" s="67"/>
      <c r="Q11" s="67"/>
      <c r="R11" s="67"/>
      <c r="S11" s="67"/>
    </row>
    <row r="12" ht="16.5" customHeight="1">
      <c r="A12" s="65"/>
      <c r="B12" s="65"/>
      <c r="C12" s="65"/>
      <c r="D12" s="65"/>
      <c r="E12" s="65"/>
      <c r="F12" s="65"/>
      <c r="G12" s="74"/>
      <c r="H12" s="65"/>
      <c r="I12" s="74"/>
      <c r="J12" s="65"/>
      <c r="K12" s="79"/>
      <c r="L12" s="65"/>
      <c r="M12" s="79"/>
      <c r="N12" s="65"/>
      <c r="O12" s="67"/>
      <c r="P12" s="67"/>
      <c r="Q12" s="67"/>
      <c r="R12" s="67"/>
      <c r="S12" s="67"/>
    </row>
    <row r="13" ht="60.75" customHeight="1">
      <c r="A13" s="80" t="s">
        <v>224</v>
      </c>
      <c r="B13" s="66"/>
      <c r="C13" s="159" t="s">
        <v>225</v>
      </c>
      <c r="D13" s="160" t="s">
        <v>226</v>
      </c>
      <c r="E13" s="82" t="s">
        <v>227</v>
      </c>
      <c r="F13" s="161" t="s">
        <v>228</v>
      </c>
      <c r="G13" s="162" t="s">
        <v>229</v>
      </c>
      <c r="H13" s="82" t="s">
        <v>230</v>
      </c>
      <c r="I13" s="82" t="s">
        <v>231</v>
      </c>
      <c r="J13" s="163" t="s">
        <v>232</v>
      </c>
      <c r="K13" s="82" t="s">
        <v>220</v>
      </c>
      <c r="L13" s="164" t="s">
        <v>233</v>
      </c>
      <c r="M13" s="82" t="s">
        <v>222</v>
      </c>
      <c r="N13" s="165" t="s">
        <v>234</v>
      </c>
      <c r="O13" s="166" t="s">
        <v>235</v>
      </c>
      <c r="P13" s="81" t="s">
        <v>222</v>
      </c>
      <c r="Q13" s="81" t="s">
        <v>236</v>
      </c>
      <c r="R13" s="82" t="s">
        <v>237</v>
      </c>
      <c r="S13" s="67"/>
    </row>
    <row r="14" ht="16.5" customHeight="1">
      <c r="A14" s="83" t="s">
        <v>23</v>
      </c>
      <c r="B14" s="60" t="s">
        <v>9</v>
      </c>
      <c r="C14" s="61" t="n">
        <v>499</v>
      </c>
      <c r="D14" s="84" t="n">
        <f>C14/(1+H14)</f>
        <v>412.396694214876</v>
      </c>
      <c r="E14" s="61" t="n">
        <f>H4</f>
        <v>185</v>
      </c>
      <c r="F14" s="85" t="n">
        <v>0.1</v>
      </c>
      <c r="G14" s="85" t="n">
        <v>0.2</v>
      </c>
      <c r="H14" s="86" t="n">
        <v>0.21</v>
      </c>
      <c r="I14" s="87" t="n">
        <v>0</v>
      </c>
      <c r="J14" s="88" t="n">
        <f>E14*(1+F14)</f>
        <v>203.5</v>
      </c>
      <c r="K14" s="89" t="n">
        <f>(L14-J14)/L14</f>
        <v>0.298275862068966</v>
      </c>
      <c r="L14" s="61" t="n">
        <v>285</v>
      </c>
      <c r="M14" s="62" t="n">
        <f>(D14-L14)/D14</f>
        <v>0.296793587174349</v>
      </c>
      <c r="N14" s="61" t="n">
        <v>235</v>
      </c>
      <c r="O14" s="90" t="n">
        <f>N14*(1+G14)</f>
        <v>288</v>
      </c>
      <c r="P14" s="89" t="n">
        <f>(D14-O14)/D14</f>
        <v>0.301643286573146</v>
      </c>
      <c r="Q14" s="89" t="n">
        <f>(N14-G4)/N14</f>
        <v>0.657534246575342</v>
      </c>
      <c r="R14" s="91" t="s">
        <v>238</v>
      </c>
      <c r="S14" s="92"/>
    </row>
    <row r="15" ht="16.5" customHeight="1">
      <c r="A15" s="65"/>
      <c r="B15" s="65"/>
      <c r="C15" s="65"/>
      <c r="D15" s="65"/>
      <c r="E15" s="65"/>
      <c r="F15" s="93"/>
      <c r="G15" s="93"/>
      <c r="H15" s="94"/>
      <c r="I15" s="95"/>
      <c r="J15" s="96"/>
      <c r="K15" s="97"/>
      <c r="L15" s="65"/>
      <c r="M15" s="74"/>
      <c r="N15" s="65"/>
      <c r="O15" s="98"/>
      <c r="P15" s="97"/>
      <c r="Q15" s="97"/>
      <c r="R15" s="67"/>
      <c r="S15" s="67"/>
    </row>
    <row r="16" ht="16.5" customHeight="1">
      <c r="A16" s="65"/>
      <c r="B16" s="65"/>
      <c r="C16" s="65"/>
      <c r="D16" s="65"/>
      <c r="E16" s="65"/>
      <c r="F16" s="93"/>
      <c r="G16" s="93"/>
      <c r="H16" s="94"/>
      <c r="I16" s="95"/>
      <c r="J16" s="96"/>
      <c r="K16" s="97"/>
      <c r="L16" s="65"/>
      <c r="M16" s="74"/>
      <c r="N16" s="65"/>
      <c r="O16" s="98"/>
      <c r="P16" s="97"/>
      <c r="Q16" s="97"/>
      <c r="R16" s="67"/>
      <c r="S16" s="67"/>
    </row>
    <row r="17" ht="16.5" customHeight="1">
      <c r="A17" s="65"/>
      <c r="B17" s="65"/>
      <c r="C17" s="65"/>
      <c r="D17" s="65"/>
      <c r="E17" s="65"/>
      <c r="F17" s="93"/>
      <c r="G17" s="93"/>
      <c r="H17" s="94"/>
      <c r="I17" s="95"/>
      <c r="J17" s="96"/>
      <c r="K17" s="97"/>
      <c r="L17" s="65"/>
      <c r="M17" s="74"/>
      <c r="N17" s="65"/>
      <c r="O17" s="98"/>
      <c r="P17" s="97"/>
      <c r="Q17" s="97"/>
      <c r="R17" s="67"/>
      <c r="S17" s="67"/>
    </row>
    <row r="18" ht="16.5" customHeight="1">
      <c r="A18" s="67"/>
      <c r="B18" s="67"/>
      <c r="C18" s="67"/>
      <c r="D18" s="67"/>
      <c r="E18" s="67"/>
      <c r="F18" s="67"/>
      <c r="G18" s="67"/>
      <c r="H18" s="67"/>
      <c r="I18" s="67"/>
      <c r="J18" s="67"/>
      <c r="K18" s="67"/>
      <c r="L18" s="67"/>
      <c r="M18" s="67"/>
      <c r="N18" s="67"/>
      <c r="O18" s="67"/>
      <c r="P18" s="67"/>
      <c r="Q18" s="67"/>
      <c r="R18" s="67"/>
      <c r="S18" s="67"/>
    </row>
    <row r="19" ht="16.5" customHeight="1">
      <c r="A19" s="67"/>
      <c r="B19" s="67"/>
      <c r="C19" s="67"/>
      <c r="D19" s="67"/>
      <c r="E19" s="67"/>
      <c r="F19" s="67"/>
      <c r="G19" s="67"/>
      <c r="H19" s="67"/>
      <c r="I19" s="67"/>
      <c r="J19" s="67"/>
      <c r="K19" s="67"/>
      <c r="L19" s="67"/>
      <c r="M19" s="67"/>
      <c r="N19" s="67"/>
      <c r="O19" s="67"/>
      <c r="P19" s="67"/>
      <c r="Q19" s="67"/>
      <c r="R19" s="67"/>
      <c r="S19" s="67"/>
    </row>
    <row r="20" ht="30.75" customHeight="1">
      <c r="A20" s="64" t="s">
        <v>239</v>
      </c>
      <c r="B20" s="66"/>
      <c r="C20" s="167" t="s">
        <v>240</v>
      </c>
      <c r="D20" s="57" t="s">
        <v>236</v>
      </c>
      <c r="E20" s="168" t="s">
        <v>241</v>
      </c>
      <c r="F20" s="57" t="s">
        <v>236</v>
      </c>
      <c r="G20" s="169" t="s">
        <v>242</v>
      </c>
      <c r="H20" s="57" t="s">
        <v>236</v>
      </c>
      <c r="I20" s="67"/>
      <c r="J20" s="67"/>
      <c r="K20" s="67"/>
      <c r="L20" s="67"/>
      <c r="M20" s="67"/>
      <c r="N20" s="67"/>
      <c r="O20" s="67"/>
      <c r="P20" s="67"/>
      <c r="Q20" s="67"/>
      <c r="R20" s="67"/>
      <c r="S20" s="67"/>
    </row>
    <row r="21" ht="16.5" customHeight="1">
      <c r="A21" s="59" t="s">
        <v>23</v>
      </c>
      <c r="B21" s="60" t="s">
        <v>9</v>
      </c>
      <c r="C21" s="61" t="n">
        <v>3199</v>
      </c>
      <c r="D21" s="71" t="n">
        <f>(C21-C4)/C21</f>
        <v>0.788058768365114</v>
      </c>
      <c r="E21" s="61" t="n">
        <v>419</v>
      </c>
      <c r="F21" s="71" t="n">
        <f>(E21-G4)/E21</f>
        <v>0.803838231928597</v>
      </c>
      <c r="G21" s="61" t="n">
        <v>419</v>
      </c>
      <c r="H21" s="71" t="n">
        <f>(G21-G4)/E21</f>
        <v>0.803838231928597</v>
      </c>
      <c r="I21" s="67"/>
      <c r="J21" s="67"/>
      <c r="K21" s="67"/>
      <c r="L21" s="67"/>
      <c r="M21" s="67"/>
      <c r="N21" s="67"/>
      <c r="O21" s="67"/>
      <c r="P21" s="67"/>
      <c r="Q21" s="67"/>
      <c r="R21" s="67"/>
      <c r="S21" s="67"/>
    </row>
    <row r="22" ht="16.5" customHeight="1">
      <c r="A22" s="67"/>
      <c r="B22" s="67"/>
      <c r="C22" s="67"/>
      <c r="D22" s="67"/>
      <c r="E22" s="67"/>
      <c r="F22" s="67"/>
      <c r="G22" s="67"/>
      <c r="H22" s="67"/>
      <c r="I22" s="67"/>
      <c r="J22" s="67"/>
      <c r="K22" s="67"/>
      <c r="L22" s="67"/>
      <c r="M22" s="67"/>
      <c r="N22" s="67"/>
      <c r="O22" s="67"/>
      <c r="P22" s="67"/>
      <c r="Q22" s="67"/>
      <c r="R22" s="67"/>
      <c r="S22" s="67"/>
    </row>
    <row r="23" ht="16.5" customHeight="1">
      <c r="A23" s="99" t="s">
        <v>243</v>
      </c>
      <c r="B23" s="100"/>
      <c r="C23" s="100"/>
      <c r="D23" s="100"/>
      <c r="E23" s="100"/>
      <c r="F23" s="100"/>
      <c r="G23" s="100"/>
      <c r="H23" s="100"/>
      <c r="I23" s="100"/>
      <c r="J23" s="100"/>
      <c r="K23" s="100"/>
      <c r="L23" s="100"/>
      <c r="M23" s="100"/>
      <c r="N23" s="100"/>
      <c r="O23" s="100"/>
      <c r="P23" s="100"/>
      <c r="Q23" s="100"/>
      <c r="R23" s="100"/>
      <c r="S23" s="67"/>
    </row>
    <row r="24" ht="16.5" customHeight="1">
      <c r="A24" s="99" t="s">
        <v>244</v>
      </c>
      <c r="B24" s="99"/>
      <c r="C24" s="99"/>
      <c r="D24" s="99"/>
      <c r="E24" s="99"/>
      <c r="F24" s="100"/>
      <c r="G24" s="100"/>
      <c r="H24" s="100"/>
      <c r="I24" s="100"/>
      <c r="J24" s="100"/>
      <c r="K24" s="100"/>
      <c r="L24" s="100"/>
      <c r="M24" s="100"/>
      <c r="N24" s="100"/>
      <c r="O24" s="100"/>
      <c r="P24" s="100"/>
      <c r="Q24" s="100"/>
      <c r="R24" s="100"/>
      <c r="S24" s="67"/>
    </row>
    <row r="25" ht="30.75" customHeight="1">
      <c r="A25" s="101" t="s">
        <v>245</v>
      </c>
      <c r="B25" s="66"/>
      <c r="C25" s="66"/>
      <c r="D25" s="66"/>
      <c r="E25" s="66"/>
      <c r="F25" s="66"/>
      <c r="G25" s="66"/>
      <c r="H25" s="66"/>
      <c r="I25" s="66"/>
      <c r="J25" s="66"/>
      <c r="K25" s="66"/>
      <c r="L25" s="66"/>
      <c r="M25" s="66"/>
      <c r="N25" s="66"/>
      <c r="O25" s="66"/>
      <c r="P25" s="66"/>
      <c r="Q25" s="66"/>
      <c r="R25" s="66"/>
      <c r="S25" s="66"/>
    </row>
    <row r="26" ht="16.5" customHeight="1">
      <c r="A26" s="99" t="s">
        <v>246</v>
      </c>
      <c r="B26" s="99"/>
      <c r="C26" s="99"/>
      <c r="D26" s="99"/>
      <c r="E26" s="99"/>
      <c r="F26" s="99"/>
      <c r="G26" s="100"/>
      <c r="H26" s="100"/>
      <c r="I26" s="100"/>
      <c r="J26" s="100"/>
      <c r="K26" s="100"/>
      <c r="L26" s="100"/>
      <c r="M26" s="100"/>
      <c r="N26" s="100"/>
      <c r="O26" s="100"/>
      <c r="P26" s="100"/>
      <c r="Q26" s="100"/>
      <c r="R26" s="100"/>
      <c r="S26" s="67"/>
    </row>
    <row r="27" ht="16.5" customHeight="1">
      <c r="A27" s="67"/>
      <c r="B27" s="67"/>
      <c r="C27" s="67"/>
      <c r="D27" s="67"/>
      <c r="E27" s="67"/>
      <c r="F27" s="67"/>
      <c r="G27" s="67"/>
      <c r="H27" s="67"/>
      <c r="I27" s="67"/>
      <c r="J27" s="67"/>
      <c r="K27" s="67"/>
      <c r="L27" s="67"/>
      <c r="M27" s="67"/>
      <c r="N27" s="67"/>
      <c r="O27" s="67"/>
      <c r="P27" s="67"/>
      <c r="Q27" s="67"/>
      <c r="R27" s="67"/>
      <c r="S27" s="67"/>
    </row>
  </sheetData>
  <mergeCells count="4">
    <mergeCell ref="A13:B13"/>
    <mergeCell ref="A7:B7"/>
    <mergeCell ref="A25:S25"/>
    <mergeCell ref="A20:B20"/>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2026-03-27T13:35:49Z</dcterms:modified>
</cp:coreProperties>
</file>